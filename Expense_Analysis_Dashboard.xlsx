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KPI_Summary" sheetId="2" state="visible" r:id="rId4"/>
    <sheet name="Pivot_Analysis" sheetId="3" state="visible" r:id="rId5"/>
    <sheet name="Formula_Analysis" sheetId="4" state="visible" r:id="rId6"/>
    <sheet name="Charts" sheetId="5" state="visible" r:id="rId7"/>
    <sheet name="Receipts" sheetId="6" state="visible" r:id="rId8"/>
    <sheet name="Reimbursements" sheetId="7" state="visible" r:id="rId9"/>
    <sheet name="Insights_Recommendations" sheetId="8" state="visible" r:id="rId10"/>
    <sheet name="Dashboard_Guid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<sst xmlns="http://schemas.openxmlformats.org/spreadsheetml/2006/main" count="355" uniqueCount="260">
  <si>
    <t xml:space="preserve">Date</t>
  </si>
  <si>
    <t xml:space="preserve">Month</t>
  </si>
  <si>
    <t xml:space="preserve">Month_Num</t>
  </si>
  <si>
    <t xml:space="preserve">Category</t>
  </si>
  <si>
    <t xml:space="preserve">Vendor_Service</t>
  </si>
  <si>
    <t xml:space="preserve">Description</t>
  </si>
  <si>
    <t xml:space="preserve">Amount</t>
  </si>
  <si>
    <t xml:space="preserve">Payment_Mode</t>
  </si>
  <si>
    <t xml:space="preserve">Phase</t>
  </si>
  <si>
    <t xml:space="preserve">2026-05-05</t>
  </si>
  <si>
    <t xml:space="preserve">May</t>
  </si>
  <si>
    <t xml:space="preserve">Website Development</t>
  </si>
  <si>
    <t xml:space="preserve">PixelCraft Technologies</t>
  </si>
  <si>
    <t xml:space="preserve">UI/UX design advance payment</t>
  </si>
  <si>
    <t xml:space="preserve">Bank Transfer</t>
  </si>
  <si>
    <t xml:space="preserve">Setup</t>
  </si>
  <si>
    <t xml:space="preserve">2026-05-10</t>
  </si>
  <si>
    <t xml:space="preserve">Branding</t>
  </si>
  <si>
    <t xml:space="preserve">CreativeHive Studio</t>
  </si>
  <si>
    <t xml:space="preserve">Logo design &amp; brand kit</t>
  </si>
  <si>
    <t xml:space="preserve">UPI</t>
  </si>
  <si>
    <t xml:space="preserve">2026-05-18</t>
  </si>
  <si>
    <t xml:space="preserve">Domain &amp; Hosting</t>
  </si>
  <si>
    <t xml:space="preserve">CloudNet Solutions</t>
  </si>
  <si>
    <t xml:space="preserve">Hosting + SSL + domain</t>
  </si>
  <si>
    <t xml:space="preserve">Credit Card</t>
  </si>
  <si>
    <t xml:space="preserve">2026-05-25</t>
  </si>
  <si>
    <t xml:space="preserve">Recruitment</t>
  </si>
  <si>
    <t xml:space="preserve">HireSphere HR</t>
  </si>
  <si>
    <t xml:space="preserve">Hiring support</t>
  </si>
  <si>
    <t xml:space="preserve">2026-06-02</t>
  </si>
  <si>
    <t xml:space="preserve">Jun</t>
  </si>
  <si>
    <t xml:space="preserve">Product Photography</t>
  </si>
  <si>
    <t xml:space="preserve">Studio Vogue</t>
  </si>
  <si>
    <t xml:space="preserve">Catalogue shoot for 500 SKUs</t>
  </si>
  <si>
    <t xml:space="preserve">Launch Prep</t>
  </si>
  <si>
    <t xml:space="preserve">2026-06-08</t>
  </si>
  <si>
    <t xml:space="preserve">Inventory Purchase</t>
  </si>
  <si>
    <t xml:space="preserve">UrbanTex Suppliers</t>
  </si>
  <si>
    <t xml:space="preserve">Initial inventory batch</t>
  </si>
  <si>
    <t xml:space="preserve">RTGS</t>
  </si>
  <si>
    <t xml:space="preserve">2026-06-16</t>
  </si>
  <si>
    <t xml:space="preserve">Payment Gateway</t>
  </si>
  <si>
    <t xml:space="preserve">Razorpay Business</t>
  </si>
  <si>
    <t xml:space="preserve">Merchant onboarding</t>
  </si>
  <si>
    <t xml:space="preserve">2026-06-25</t>
  </si>
  <si>
    <t xml:space="preserve">Logistics Setup</t>
  </si>
  <si>
    <t xml:space="preserve">ShipRocket Enterprise</t>
  </si>
  <si>
    <t xml:space="preserve">Shipping integration</t>
  </si>
  <si>
    <t xml:space="preserve">2026-07-05</t>
  </si>
  <si>
    <t xml:space="preserve">Jul</t>
  </si>
  <si>
    <t xml:space="preserve">Marketing</t>
  </si>
  <si>
    <t xml:space="preserve">Meta Ads India</t>
  </si>
  <si>
    <t xml:space="preserve">Instagram &amp; Facebook ads</t>
  </si>
  <si>
    <t xml:space="preserve">Go-Live</t>
  </si>
  <si>
    <t xml:space="preserve">📊  EXPENSE ANALYSIS — EXECUTIVE DASHBOARD</t>
  </si>
  <si>
    <t xml:space="preserve">Startup Launch Expenditure  |  May – July 2026  |  Source: Cleaned_Expenses</t>
  </si>
  <si>
    <t xml:space="preserve">KEY PERFORMANCE INDICATORS</t>
  </si>
  <si>
    <t xml:space="preserve">Total Spend</t>
  </si>
  <si>
    <t xml:space="preserve">Avg. Transaction</t>
  </si>
  <si>
    <t xml:space="preserve">Largest Expense</t>
  </si>
  <si>
    <t xml:space="preserve">Total Transactions</t>
  </si>
  <si>
    <t xml:space="preserve">9 transactions</t>
  </si>
  <si>
    <t xml:space="preserve">Per vendor</t>
  </si>
  <si>
    <t xml:space="preserve">Inventory batch</t>
  </si>
  <si>
    <t xml:space="preserve">May–Jul 2026</t>
  </si>
  <si>
    <t xml:space="preserve">May Spend</t>
  </si>
  <si>
    <t xml:space="preserve">June Spend</t>
  </si>
  <si>
    <t xml:space="preserve">July Spend</t>
  </si>
  <si>
    <t xml:space="preserve">Pending Reimb.</t>
  </si>
  <si>
    <t xml:space="preserve">Setup phase</t>
  </si>
  <si>
    <t xml:space="preserve">Launch prep</t>
  </si>
  <si>
    <t xml:space="preserve">Go-live</t>
  </si>
  <si>
    <t xml:space="preserve">Needs clearance</t>
  </si>
  <si>
    <t xml:space="preserve">PIVOT 1 — Category-Wise Expense Analysis</t>
  </si>
  <si>
    <t xml:space="preserve">Total Spend (₹)</t>
  </si>
  <si>
    <t xml:space="preserve">% of Total</t>
  </si>
  <si>
    <t xml:space="preserve">Tx Count</t>
  </si>
  <si>
    <t xml:space="preserve">Avg Spend (₹)</t>
  </si>
  <si>
    <t xml:space="preserve">GRAND TOTAL</t>
  </si>
  <si>
    <t xml:space="preserve">PIVOT 2 — Monthly Expense Trend</t>
  </si>
  <si>
    <t xml:space="preserve">MoM Change</t>
  </si>
  <si>
    <t xml:space="preserve">PIVOT 3 — Payment Mode Analysis</t>
  </si>
  <si>
    <t xml:space="preserve">Payment Mode</t>
  </si>
  <si>
    <t xml:space="preserve">Total (₹)</t>
  </si>
  <si>
    <t xml:space="preserve">% Share</t>
  </si>
  <si>
    <t xml:space="preserve">FORMULA ANALYSIS — SUMIFS / COUNTIFS / AVERAGEIFS / XLOOKUP / IF</t>
  </si>
  <si>
    <t xml:space="preserve">A. SUMIFS — Conditional Spend Aggregations</t>
  </si>
  <si>
    <t xml:space="preserve">Formula Description</t>
  </si>
  <si>
    <t xml:space="preserve">Criteria 1</t>
  </si>
  <si>
    <t xml:space="preserve">Criteria 2</t>
  </si>
  <si>
    <t xml:space="preserve">Result (₹)</t>
  </si>
  <si>
    <t xml:space="preserve">Formula Used</t>
  </si>
  <si>
    <t xml:space="preserve">Spend in May via Bank Transfer</t>
  </si>
  <si>
    <t xml:space="preserve">Jun spend on Launch Prep phase</t>
  </si>
  <si>
    <t xml:space="preserve">All Credit Card expenses</t>
  </si>
  <si>
    <t xml:space="preserve">(any)</t>
  </si>
  <si>
    <t xml:space="preserve">Setup phase total spend</t>
  </si>
  <si>
    <t xml:space="preserve">B. COUNTIFS — Transaction Counts</t>
  </si>
  <si>
    <t xml:space="preserve">Criteria</t>
  </si>
  <si>
    <t xml:space="preserve">Count</t>
  </si>
  <si>
    <t xml:space="preserve">Transactions in June</t>
  </si>
  <si>
    <t xml:space="preserve">Month=Jun</t>
  </si>
  <si>
    <t xml:space="preserve">Transactions via RTGS</t>
  </si>
  <si>
    <t xml:space="preserve">Mode=RTGS</t>
  </si>
  <si>
    <t xml:space="preserve">Transactions above ₹1,00,000</t>
  </si>
  <si>
    <t xml:space="preserve">Amount&gt;100K</t>
  </si>
  <si>
    <t xml:space="preserve">Transactions in Go-Live phase</t>
  </si>
  <si>
    <t xml:space="preserve">Phase=Go-Live</t>
  </si>
  <si>
    <t xml:space="preserve">C. AVERAGEIFS — Conditional Averages</t>
  </si>
  <si>
    <t xml:space="preserve">Average (₹)</t>
  </si>
  <si>
    <t xml:space="preserve">Avg spend in Setup phase</t>
  </si>
  <si>
    <t xml:space="preserve">Phase=Setup</t>
  </si>
  <si>
    <t xml:space="preserve">'=AVERAGEIF(I2:I10,"Setup",G2:G10)</t>
  </si>
  <si>
    <t xml:space="preserve">Avg spend via Bank Transfer</t>
  </si>
  <si>
    <t xml:space="preserve">Mode=Bank Transfer</t>
  </si>
  <si>
    <t xml:space="preserve">'=AVERAGEIF(H2:H10,"Bank Transfer",G2:G10)</t>
  </si>
  <si>
    <t xml:space="preserve">Overall average transaction</t>
  </si>
  <si>
    <t xml:space="preserve">All</t>
  </si>
  <si>
    <t xml:space="preserve">'=AVERAGE(G2:G10)</t>
  </si>
  <si>
    <t xml:space="preserve">D. INDEX/MATCH + IF — Vendor Lookup &amp; Spend Flags (Excel: use XLOOKUP)</t>
  </si>
  <si>
    <t xml:space="preserve">Vendor</t>
  </si>
  <si>
    <t xml:space="preserve">Amount (₹)</t>
  </si>
  <si>
    <t xml:space="preserve">Spend Flag (IF)</t>
  </si>
  <si>
    <t xml:space="preserve">CHARTS &amp; VISUALIZATIONS — Expense Analysis</t>
  </si>
  <si>
    <t xml:space="preserve">Inventory</t>
  </si>
  <si>
    <t xml:space="preserve">Photography</t>
  </si>
  <si>
    <t xml:space="preserve">June</t>
  </si>
  <si>
    <t xml:space="preserve">Website Dev</t>
  </si>
  <si>
    <t xml:space="preserve">July</t>
  </si>
  <si>
    <t xml:space="preserve">Logistics</t>
  </si>
  <si>
    <t xml:space="preserve">Hosting</t>
  </si>
  <si>
    <t xml:space="preserve">Pay. Gateway</t>
  </si>
  <si>
    <t xml:space="preserve">RECEIPTS REGISTER — GST &amp; Compliance Tracker</t>
  </si>
  <si>
    <t xml:space="preserve">Receipt ID</t>
  </si>
  <si>
    <t xml:space="preserve">Service</t>
  </si>
  <si>
    <t xml:space="preserve">Amount Paid (₹)</t>
  </si>
  <si>
    <t xml:space="preserve">GST (₹)</t>
  </si>
  <si>
    <t xml:space="preserve">Status</t>
  </si>
  <si>
    <t xml:space="preserve">SN-001</t>
  </si>
  <si>
    <t xml:space="preserve">Website UI/UX Design Advance</t>
  </si>
  <si>
    <t xml:space="preserve">Paid</t>
  </si>
  <si>
    <t xml:space="preserve">SN-002</t>
  </si>
  <si>
    <t xml:space="preserve">Product Photography for Launch</t>
  </si>
  <si>
    <t xml:space="preserve">SN-003</t>
  </si>
  <si>
    <t xml:space="preserve">Social Media Launch Campaign</t>
  </si>
  <si>
    <t xml:space="preserve">⚠ Missing GST</t>
  </si>
  <si>
    <t xml:space="preserve">TOTALS</t>
  </si>
  <si>
    <t xml:space="preserve">⚠  ACTION REQUIRED: SN-003 (Meta Ads India) has no GST recorded. Potential ITC of ₹36,000 (18%) unclaimed. Request corrected invoice immediately.</t>
  </si>
  <si>
    <t xml:space="preserve">EMPLOYEE REIMBURSEMENTS TRACKER</t>
  </si>
  <si>
    <t xml:space="preserve">Employee</t>
  </si>
  <si>
    <t xml:space="preserve">Department</t>
  </si>
  <si>
    <t xml:space="preserve">Purpose</t>
  </si>
  <si>
    <t xml:space="preserve">Flag</t>
  </si>
  <si>
    <t xml:space="preserve">Riya Sharma</t>
  </si>
  <si>
    <t xml:space="preserve">Vendor meeting travel</t>
  </si>
  <si>
    <t xml:space="preserve">Approved</t>
  </si>
  <si>
    <t xml:space="preserve">Aman Verma</t>
  </si>
  <si>
    <t xml:space="preserve">Operations</t>
  </si>
  <si>
    <t xml:space="preserve">Packaging samples</t>
  </si>
  <si>
    <t xml:space="preserve">Reimbursed</t>
  </si>
  <si>
    <t xml:space="preserve">Neha Singh</t>
  </si>
  <si>
    <t xml:space="preserve">Tech Team</t>
  </si>
  <si>
    <t xml:space="preserve">SaaS testing tools</t>
  </si>
  <si>
    <t xml:space="preserve">Pending</t>
  </si>
  <si>
    <t xml:space="preserve">Total Claimed</t>
  </si>
  <si>
    <t xml:space="preserve">Total Reimbursed</t>
  </si>
  <si>
    <t xml:space="preserve">Total Pending</t>
  </si>
  <si>
    <t xml:space="preserve">EXECUTIVE INSIGHTS &amp; BUSINESS RECOMMENDATIONS</t>
  </si>
  <si>
    <t xml:space="preserve">KEY INSIGHTS FROM DATA</t>
  </si>
  <si>
    <t xml:space="preserve">#</t>
  </si>
  <si>
    <t xml:space="preserve">Insight</t>
  </si>
  <si>
    <t xml:space="preserve">Priority</t>
  </si>
  <si>
    <t xml:space="preserve">Formula Evidence</t>
  </si>
  <si>
    <t xml:space="preserve">Action Required</t>
  </si>
  <si>
    <t xml:space="preserve">Inventory = 39.3% of total spend — single largest cost</t>
  </si>
  <si>
    <t xml:space="preserve">Spend Mix</t>
  </si>
  <si>
    <t xml:space="preserve">🔴 Critical</t>
  </si>
  <si>
    <t xml:space="preserve">Get GRN/delivery note from UrbanTex</t>
  </si>
  <si>
    <t xml:space="preserve">June spend ₹12.15L = 63.7% of all spend in one month</t>
  </si>
  <si>
    <t xml:space="preserve">Cash Flow</t>
  </si>
  <si>
    <t xml:space="preserve">Monitor burn rate weekly</t>
  </si>
  <si>
    <t xml:space="preserve">Only 33% receipt coverage (3 of 9 transactions)</t>
  </si>
  <si>
    <t xml:space="preserve">Compliance</t>
  </si>
  <si>
    <t xml:space="preserve">Enforce receipt policy immediately</t>
  </si>
  <si>
    <t xml:space="preserve">GST missing on Meta Ads ₹2L — ITC risk of ₹36,000</t>
  </si>
  <si>
    <t xml:space="preserve">Tax</t>
  </si>
  <si>
    <t xml:space="preserve">🟡 High</t>
  </si>
  <si>
    <t xml:space="preserve">Request corrected invoice SN-003</t>
  </si>
  <si>
    <t xml:space="preserve">Marketing is only 10.5% of spend for a 500-SKU launch</t>
  </si>
  <si>
    <t xml:space="preserve">Strategy</t>
  </si>
  <si>
    <t xml:space="preserve">Increase to ₹5–8L/month</t>
  </si>
  <si>
    <t xml:space="preserve">Photography at ₹640/SKU — above industry avg ₹150-400</t>
  </si>
  <si>
    <t xml:space="preserve">Cost Opt.</t>
  </si>
  <si>
    <t xml:space="preserve">🟡 Medium</t>
  </si>
  <si>
    <t xml:space="preserve">Get competitive quotes next shoot</t>
  </si>
  <si>
    <t xml:space="preserve">₹3,400 reimbursement pending — no SLA enforced</t>
  </si>
  <si>
    <t xml:space="preserve">Process</t>
  </si>
  <si>
    <t xml:space="preserve">🟢 Low</t>
  </si>
  <si>
    <t xml:space="preserve">Set 5-day reimbursement SLA</t>
  </si>
  <si>
    <t xml:space="preserve">81% of payments via Bank Transfer/RTGS — good traceability</t>
  </si>
  <si>
    <t xml:space="preserve">Positive</t>
  </si>
  <si>
    <t xml:space="preserve">🟢 Info</t>
  </si>
  <si>
    <t xml:space="preserve">Maintain this payment discipline</t>
  </si>
  <si>
    <t xml:space="preserve">BUSINESS RECOMMENDATIONS</t>
  </si>
  <si>
    <t xml:space="preserve">Recommendation</t>
  </si>
  <si>
    <t xml:space="preserve">Timeline</t>
  </si>
  <si>
    <t xml:space="preserve">Expected Impact</t>
  </si>
  <si>
    <t xml:space="preserve">KPI to Track</t>
  </si>
  <si>
    <t xml:space="preserve">1 — Immediate</t>
  </si>
  <si>
    <t xml:space="preserve">Implement mandatory receipt policy for all vendor payments</t>
  </si>
  <si>
    <t xml:space="preserve">Finance</t>
  </si>
  <si>
    <t xml:space="preserve">This week</t>
  </si>
  <si>
    <t xml:space="preserve">Full audit readiness; ITC capture</t>
  </si>
  <si>
    <t xml:space="preserve">Receipt coverage %</t>
  </si>
  <si>
    <t xml:space="preserve">2 — Immediate</t>
  </si>
  <si>
    <t xml:space="preserve">Request corrected GST invoice from Meta Ads India</t>
  </si>
  <si>
    <t xml:space="preserve">48 hours</t>
  </si>
  <si>
    <t xml:space="preserve">Recover ₹36,000 ITC</t>
  </si>
  <si>
    <t xml:space="preserve">GST reconciliation</t>
  </si>
  <si>
    <t xml:space="preserve">3 — This month</t>
  </si>
  <si>
    <t xml:space="preserve">Obtain GRN/delivery confirmation from UrbanTex Suppliers</t>
  </si>
  <si>
    <t xml:space="preserve">2 weeks</t>
  </si>
  <si>
    <t xml:space="preserve">Inventory risk mitigation</t>
  </si>
  <si>
    <t xml:space="preserve">Inventory receipt status</t>
  </si>
  <si>
    <t xml:space="preserve">4 — Month 2</t>
  </si>
  <si>
    <t xml:space="preserve">Increase marketing budget to ₹5–8L/month for D2C launch</t>
  </si>
  <si>
    <t xml:space="preserve">Month 2</t>
  </si>
  <si>
    <t xml:space="preserve">Customer acquisition &amp; revenue</t>
  </si>
  <si>
    <t xml:space="preserve">CAC, ROAS, Revenue</t>
  </si>
  <si>
    <t xml:space="preserve">5 — Month 2</t>
  </si>
  <si>
    <t xml:space="preserve">Get 3 competitive quotes for next photography shoot</t>
  </si>
  <si>
    <t xml:space="preserve">Before next shoot</t>
  </si>
  <si>
    <t xml:space="preserve">Save ₹1–2L on photography</t>
  </si>
  <si>
    <t xml:space="preserve">Cost per SKU</t>
  </si>
  <si>
    <t xml:space="preserve">6 — Ongoing</t>
  </si>
  <si>
    <t xml:space="preserve">Set 5-business-day reimbursement SLA for employees</t>
  </si>
  <si>
    <t xml:space="preserve">HR/Finance</t>
  </si>
  <si>
    <t xml:space="preserve">Immediately</t>
  </si>
  <si>
    <t xml:space="preserve">Employee satisfaction + cash flow</t>
  </si>
  <si>
    <t xml:space="preserve">Pending reimbursements</t>
  </si>
  <si>
    <t xml:space="preserve">EXCEL DASHBOARD GUIDE — Step-by-Step Instructions</t>
  </si>
  <si>
    <t xml:space="preserve">  STEP 1:  CREATE PIVOT TABLE — Category Analysis</t>
  </si>
  <si>
    <t xml:space="preserve">1. Click on Raw_Data sheet → Select A1:I10 → Insert → PivotTable
2. Place in new sheet named 'PT_Category'
3. Drag 'Category' to Rows | 'Amount' to Values (Sum)
4. Right-click Amount → Value Field Settings → Number Format → Currency
5. Add 'Payment_Mode' to Filters for drill-down</t>
  </si>
  <si>
    <t xml:space="preserve">  STEP 2:  CREATE PIVOT TABLE — Monthly Trend</t>
  </si>
  <si>
    <t xml:space="preserve">1. Insert → PivotTable from Raw_Data → place in 'PT_Monthly'
2. Drag 'Month' to Rows | 'Amount' to Values | 'Phase' to Filters
3. Sort Month by Month_Num column for correct order
4. Add calculated field: Cumulative Spend = Running Total in Amount</t>
  </si>
  <si>
    <t xml:space="preserve">  STEP 3:  CREATE BAR CHART from Pivot</t>
  </si>
  <si>
    <t xml:space="preserve">1. Click inside PT_Category pivot table
2. PivotTable Analyze → PivotChart → Clustered Bar → OK
3. Format: Chart Title = 'Expense by Category' | Remove gridlines
4. Change bar color to #2E75B6 | Add data labels</t>
  </si>
  <si>
    <t xml:space="preserve">  STEP 4:  CREATE LINE CHART — Monthly Trend</t>
  </si>
  <si>
    <t xml:space="preserve">1. Click inside PT_Monthly pivot table
2. PivotTable Analyze → PivotChart → Line with Markers
3. Format: Title = 'Monthly Spend Trend' | Y-axis = Currency format
4. Add trendline: Right-click line → Add Trendline → Linear</t>
  </si>
  <si>
    <t xml:space="preserve">  STEP 5:  CREATE PIE CHART — Payment Mode</t>
  </si>
  <si>
    <t xml:space="preserve">1. Select Charts!A35:B39 (payment mode data)
2. Insert → Chart → Pie → 2-D Pie
3. Add data labels showing percentage
4. Format each slice with distinct colours</t>
  </si>
  <si>
    <t xml:space="preserve">  STEP 6:  ADD SLICERS</t>
  </si>
  <si>
    <t xml:space="preserve">1. Click on any pivot table → PivotTable Analyze → Insert Slicer
2. Add slicers for: Category | Month | Payment_Mode | Phase
3. Connect slicers to all pivot tables: Right-click slicer → Report Connections
4. Tick all pivot tables to sync filtering across the dashboard</t>
  </si>
  <si>
    <t xml:space="preserve">  STEP 7:  BUILD KPI DASHBOARD</t>
  </si>
  <si>
    <t xml:space="preserve">1. Create new sheet 'DASHBOARD' → set tab color to dark navy
2. Copy KPI cards from KPI_Summary using Paste Special → Linked Picture
3. Copy pivot charts using Paste Special → Linked Picture
4. Arrange: KPI cards row 1–5 | Charts row 6–25 | Slicers on right
5. Hide gridlines: View → uncheck Gridlines</t>
  </si>
  <si>
    <t xml:space="preserve">  STEP 8:  APPLY CONDITIONAL FORMATTING</t>
  </si>
  <si>
    <t xml:space="preserve">1. Select Amount column in Raw_Data → Home → Conditional Formatting
2. Add Data Bars (blue gradient) for visual spend comparison
3. In Pivot_Analysis, add Color Scale: green (low) → red (high) on % column
4. In Insights sheet, use icon sets for Priority column</t>
  </si>
  <si>
    <t xml:space="preserve">  STEP 9:  PROTECT &amp; FINALIZE</t>
  </si>
  <si>
    <t xml:space="preserve">1. Review → Protect Sheet on Raw_Data (allow filter only)
2. Lock formula cells in KPI_Summary and Pivot_Analysis
3. File → Properties → add Title, Author, Company
4. Save as .xlsm if using macros, .xlsx otherwise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</si>
</sst>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0"/>
    <numFmt numFmtId="167" formatCode="0.00%"/>
    <numFmt numFmtId="168" formatCode="@"/>
    <numFmt numFmtId="169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color rgb="FF1A1A2E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10"/>
      <color rgb="FF1A1A2E"/>
      <name val="Calibri"/>
      <family val="0"/>
      <charset val="1"/>
    </font>
    <font>
      <b val="true"/>
      <sz val="20"/>
      <color rgb="FF1A1A2E"/>
      <name val="Calibri"/>
      <family val="0"/>
      <charset val="1"/>
    </font>
    <font>
      <sz val="9"/>
      <color rgb="FF1A1A2E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8"/>
      <color rgb="FF1A5276"/>
      <name val="Courier New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FFFFFF"/>
      <name val="Calibri"/>
      <family val="0"/>
      <charset val="1"/>
    </font>
    <font>
      <b val="true"/>
      <sz val="10"/>
      <color rgb="FF7B241C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4472C4"/>
      </patternFill>
    </fill>
    <fill>
      <patternFill patternType="solid">
        <fgColor rgb="FF17A589"/>
        <bgColor rgb="FF27AE60"/>
      </patternFill>
    </fill>
    <fill>
      <patternFill patternType="solid">
        <fgColor rgb="FFF39C12"/>
        <bgColor rgb="FFFFCC00"/>
      </patternFill>
    </fill>
    <fill>
      <patternFill patternType="solid">
        <fgColor rgb="FFE74C3C"/>
        <bgColor rgb="FFC0504D"/>
      </patternFill>
    </fill>
    <fill>
      <patternFill patternType="solid">
        <fgColor rgb="FFD5F5E3"/>
        <bgColor rgb="FFF2F2F2"/>
      </patternFill>
    </fill>
    <fill>
      <patternFill patternType="solid">
        <fgColor rgb="FFFFF3CD"/>
        <bgColor rgb="FFFDECEA"/>
      </patternFill>
    </fill>
    <fill>
      <patternFill patternType="solid">
        <fgColor rgb="FFFDECE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2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17A589"/>
      <rgbColor rgb="FFCCCCCC"/>
      <rgbColor rgb="FF878787"/>
      <rgbColor rgb="FF9999FF"/>
      <rgbColor rgb="FF8E44AD"/>
      <rgbColor rgb="FFFFF3CD"/>
      <rgbColor rgb="FFF2F2F2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9F9F9"/>
      <rgbColor rgb="FFD5F5E3"/>
      <rgbColor rgb="FFFDECEA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39C12"/>
      <rgbColor rgb="FFE74C3C"/>
      <rgbColor rgb="FF8064A2"/>
      <rgbColor rgb="FF7F8C8D"/>
      <rgbColor rgb="FF1F3864"/>
      <rgbColor rgb="FF27AE60"/>
      <rgbColor rgb="FF003300"/>
      <rgbColor rgb="FF333300"/>
      <rgbColor rgb="FF7B241C"/>
      <rgbColor rgb="FFC0504D"/>
      <rgbColor rgb="FF1A5276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Charts!B3</c:f>
              <c:strCache>
                <c:ptCount val="1"/>
                <c:pt idx="0">
                  <c:v>Amount (₹)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Charts!$A$4:$A$12</c:f>
              <c:strCache>
                <c:ptCount val="9"/>
                <c:pt idx="0">
                  <c:v>Inventory</c:v>
                </c:pt>
                <c:pt idx="1">
                  <c:v>Photography</c:v>
                </c:pt>
                <c:pt idx="2">
                  <c:v>Website Dev</c:v>
                </c:pt>
                <c:pt idx="3">
                  <c:v>Marketing</c:v>
                </c:pt>
                <c:pt idx="4">
                  <c:v>Recruitment</c:v>
                </c:pt>
                <c:pt idx="5">
                  <c:v>Logistics</c:v>
                </c:pt>
                <c:pt idx="6">
                  <c:v>Branding</c:v>
                </c:pt>
                <c:pt idx="7">
                  <c:v>Hosting</c:v>
                </c:pt>
                <c:pt idx="8">
                  <c:v>Pay. Gateway</c:v>
                </c:pt>
              </c:strCache>
            </c:strRef>
          </c:cat>
          <c:val>
            <c:numRef>
              <c:f>Charts!$B$4:$B$12</c:f>
              <c:numCache>
                <c:formatCode>\₹#,##0</c:formatCode>
                <c:ptCount val="9"/>
                <c:pt idx="0">
                  <c:v>750000</c:v>
                </c:pt>
                <c:pt idx="1">
                  <c:v>320000</c:v>
                </c:pt>
                <c:pt idx="2">
                  <c:v>250000</c:v>
                </c:pt>
                <c:pt idx="3">
                  <c:v>200000</c:v>
                </c:pt>
                <c:pt idx="4">
                  <c:v>120000</c:v>
                </c:pt>
                <c:pt idx="5">
                  <c:v>110000</c:v>
                </c:pt>
                <c:pt idx="6">
                  <c:v>75000</c:v>
                </c:pt>
                <c:pt idx="7">
                  <c:v>48000</c:v>
                </c:pt>
                <c:pt idx="8">
                  <c:v>35000</c:v>
                </c:pt>
              </c:numCache>
            </c:numRef>
          </c:val>
        </c:ser>
        <c:gapWidth val="150"/>
        <c:overlap val="0"/>
        <c:axId val="15501879"/>
        <c:axId val="36283888"/>
      </c:barChart>
      <c:catAx>
        <c:axId val="1550187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83888"/>
        <c:crosses val="autoZero"/>
        <c:auto val="1"/>
        <c:lblAlgn val="ctr"/>
        <c:lblOffset val="100"/>
        <c:noMultiLvlLbl val="0"/>
      </c:catAx>
      <c:valAx>
        <c:axId val="362838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018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Spend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Charts!L3</c:f>
              <c:strCache>
                <c:ptCount val="1"/>
                <c:pt idx="0">
                  <c:v>Amount (₹)</c:v>
                </c:pt>
              </c:strCache>
            </c:strRef>
          </c:tx>
          <c:spPr>
            <a:solidFill>
              <a:srgbClr val="17a589"/>
            </a:solidFill>
            <a:ln w="24840">
              <a:solidFill>
                <a:srgbClr val="17a5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Charts!$K$4:$K$6</c:f>
              <c:strCache>
                <c:ptCount val="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</c:strCache>
            </c:strRef>
          </c:cat>
          <c:val>
            <c:numRef>
              <c:f>Charts!$L$4:$L$6</c:f>
              <c:numCache>
                <c:formatCode>\₹#,##0</c:formatCode>
                <c:ptCount val="3"/>
                <c:pt idx="0">
                  <c:v>493000</c:v>
                </c:pt>
                <c:pt idx="1">
                  <c:v>1215000</c:v>
                </c:pt>
                <c:pt idx="2">
                  <c:v>200000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911065"/>
        <c:axId val="29445366"/>
      </c:lineChart>
      <c:catAx>
        <c:axId val="959110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45366"/>
        <c:crosses val="autoZero"/>
        <c:auto val="1"/>
        <c:lblAlgn val="ctr"/>
        <c:lblOffset val="100"/>
        <c:noMultiLvlLbl val="0"/>
      </c:catAx>
      <c:valAx>
        <c:axId val="294453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110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Mode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Charts!B35</c:f>
              <c:strCache>
                <c:ptCount val="1"/>
                <c:pt idx="0">
                  <c:v>Amount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Charts!$A$36:$A$39</c:f>
              <c:strCache>
                <c:ptCount val="4"/>
                <c:pt idx="0">
                  <c:v>Bank Transfer</c:v>
                </c:pt>
                <c:pt idx="1">
                  <c:v>RTGS</c:v>
                </c:pt>
                <c:pt idx="2">
                  <c:v>Credit Card</c:v>
                </c:pt>
                <c:pt idx="3">
                  <c:v>UPI</c:v>
                </c:pt>
              </c:strCache>
            </c:strRef>
          </c:cat>
          <c:val>
            <c:numRef>
              <c:f>Charts!$B$36:$B$39</c:f>
              <c:numCache>
                <c:formatCode>\₹#,##0</c:formatCode>
                <c:ptCount val="4"/>
                <c:pt idx="0">
                  <c:v>110000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12</xdr:col>
      <xdr:colOff>366120</xdr:colOff>
      <xdr:row>24</xdr:row>
      <xdr:rowOff>128160</xdr:rowOff>
    </xdr:to>
    <xdr:graphicFrame>
      <xdr:nvGraphicFramePr>
        <xdr:cNvPr id="0" name="Chart 1"/>
        <xdr:cNvGraphicFramePr/>
      </xdr:nvGraphicFramePr>
      <xdr:xfrm>
        <a:off x="3008160" y="59040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19</xdr:row>
      <xdr:rowOff>0</xdr:rowOff>
    </xdr:from>
    <xdr:to>
      <xdr:col>11</xdr:col>
      <xdr:colOff>774000</xdr:colOff>
      <xdr:row>37</xdr:row>
      <xdr:rowOff>170280</xdr:rowOff>
    </xdr:to>
    <xdr:graphicFrame>
      <xdr:nvGraphicFramePr>
        <xdr:cNvPr id="1" name="Chart 2"/>
        <xdr:cNvGraphicFramePr/>
      </xdr:nvGraphicFramePr>
      <xdr:xfrm>
        <a:off x="3008160" y="3828960"/>
        <a:ext cx="57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34</xdr:row>
      <xdr:rowOff>0</xdr:rowOff>
    </xdr:from>
    <xdr:to>
      <xdr:col>11</xdr:col>
      <xdr:colOff>774000</xdr:colOff>
      <xdr:row>56</xdr:row>
      <xdr:rowOff>128520</xdr:rowOff>
    </xdr:to>
    <xdr:graphicFrame>
      <xdr:nvGraphicFramePr>
        <xdr:cNvPr id="2" name="Chart 3"/>
        <xdr:cNvGraphicFramePr/>
      </xdr:nvGraphicFramePr>
      <xdr:xfrm>
        <a:off x="3008160" y="6686640"/>
        <a:ext cx="57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xpenseData" displayName="ExpenseData" ref="A1:I10" headerRowCount="1" totalsRowCount="0" totalsRowShown="0">
  <autoFilter ref="A1:I10"/>
  <tableColumns count="9">
    <tableColumn id="1" name="Date"/>
    <tableColumn id="2" name="Month"/>
    <tableColumn id="3" name="Month_Num"/>
    <tableColumn id="4" name="Category"/>
    <tableColumn id="5" name="Vendor_Service"/>
    <tableColumn id="6" name="Description"/>
    <tableColumn id="7" name="Amount"/>
    <tableColumn id="8" name="Payment_Mode"/>
    <tableColumn id="9" name="Phas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26"/>
    <col collapsed="false" customWidth="true" hidden="false" outlineLevel="0" max="6" min="6" style="1" width="32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2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s">
        <v>10</v>
      </c>
      <c r="C2" s="3" t="n">
        <v>5</v>
      </c>
      <c r="D2" s="4" t="s">
        <v>11</v>
      </c>
      <c r="E2" s="4" t="s">
        <v>12</v>
      </c>
      <c r="F2" s="4" t="s">
        <v>13</v>
      </c>
      <c r="G2" s="5" t="n">
        <v>250000</v>
      </c>
      <c r="H2" s="3" t="s">
        <v>14</v>
      </c>
      <c r="I2" s="3" t="s">
        <v>15</v>
      </c>
    </row>
    <row r="3" customFormat="false" ht="15" hidden="false" customHeight="true" outlineLevel="0" collapsed="false">
      <c r="A3" s="6" t="s">
        <v>16</v>
      </c>
      <c r="B3" s="6" t="s">
        <v>10</v>
      </c>
      <c r="C3" s="6" t="n">
        <v>5</v>
      </c>
      <c r="D3" s="7" t="s">
        <v>17</v>
      </c>
      <c r="E3" s="7" t="s">
        <v>18</v>
      </c>
      <c r="F3" s="7" t="s">
        <v>19</v>
      </c>
      <c r="G3" s="8" t="n">
        <v>75000</v>
      </c>
      <c r="H3" s="6" t="s">
        <v>20</v>
      </c>
      <c r="I3" s="6" t="s">
        <v>15</v>
      </c>
    </row>
    <row r="4" customFormat="false" ht="15" hidden="false" customHeight="true" outlineLevel="0" collapsed="false">
      <c r="A4" s="3" t="s">
        <v>21</v>
      </c>
      <c r="B4" s="3" t="s">
        <v>10</v>
      </c>
      <c r="C4" s="3" t="n">
        <v>5</v>
      </c>
      <c r="D4" s="4" t="s">
        <v>22</v>
      </c>
      <c r="E4" s="4" t="s">
        <v>23</v>
      </c>
      <c r="F4" s="4" t="s">
        <v>24</v>
      </c>
      <c r="G4" s="5" t="n">
        <v>48000</v>
      </c>
      <c r="H4" s="3" t="s">
        <v>25</v>
      </c>
      <c r="I4" s="3" t="s">
        <v>15</v>
      </c>
    </row>
    <row r="5" customFormat="false" ht="15" hidden="false" customHeight="true" outlineLevel="0" collapsed="false">
      <c r="A5" s="6" t="s">
        <v>26</v>
      </c>
      <c r="B5" s="6" t="s">
        <v>10</v>
      </c>
      <c r="C5" s="6" t="n">
        <v>5</v>
      </c>
      <c r="D5" s="7" t="s">
        <v>27</v>
      </c>
      <c r="E5" s="7" t="s">
        <v>28</v>
      </c>
      <c r="F5" s="7" t="s">
        <v>29</v>
      </c>
      <c r="G5" s="8" t="n">
        <v>120000</v>
      </c>
      <c r="H5" s="6" t="s">
        <v>14</v>
      </c>
      <c r="I5" s="6" t="s">
        <v>15</v>
      </c>
    </row>
    <row r="6" customFormat="false" ht="15" hidden="false" customHeight="true" outlineLevel="0" collapsed="false">
      <c r="A6" s="3" t="s">
        <v>30</v>
      </c>
      <c r="B6" s="3" t="s">
        <v>31</v>
      </c>
      <c r="C6" s="3" t="n">
        <v>6</v>
      </c>
      <c r="D6" s="4" t="s">
        <v>32</v>
      </c>
      <c r="E6" s="4" t="s">
        <v>33</v>
      </c>
      <c r="F6" s="4" t="s">
        <v>34</v>
      </c>
      <c r="G6" s="5" t="n">
        <v>320000</v>
      </c>
      <c r="H6" s="3" t="s">
        <v>14</v>
      </c>
      <c r="I6" s="3" t="s">
        <v>35</v>
      </c>
    </row>
    <row r="7" customFormat="false" ht="15" hidden="false" customHeight="true" outlineLevel="0" collapsed="false">
      <c r="A7" s="6" t="s">
        <v>36</v>
      </c>
      <c r="B7" s="6" t="s">
        <v>31</v>
      </c>
      <c r="C7" s="6" t="n">
        <v>6</v>
      </c>
      <c r="D7" s="7" t="s">
        <v>37</v>
      </c>
      <c r="E7" s="7" t="s">
        <v>38</v>
      </c>
      <c r="F7" s="7" t="s">
        <v>39</v>
      </c>
      <c r="G7" s="8" t="n">
        <v>750000</v>
      </c>
      <c r="H7" s="6" t="s">
        <v>40</v>
      </c>
      <c r="I7" s="6" t="s">
        <v>35</v>
      </c>
    </row>
    <row r="8" customFormat="false" ht="15" hidden="false" customHeight="true" outlineLevel="0" collapsed="false">
      <c r="A8" s="3" t="s">
        <v>41</v>
      </c>
      <c r="B8" s="3" t="s">
        <v>31</v>
      </c>
      <c r="C8" s="3" t="n">
        <v>6</v>
      </c>
      <c r="D8" s="4" t="s">
        <v>42</v>
      </c>
      <c r="E8" s="4" t="s">
        <v>43</v>
      </c>
      <c r="F8" s="4" t="s">
        <v>44</v>
      </c>
      <c r="G8" s="5" t="n">
        <v>35000</v>
      </c>
      <c r="H8" s="3" t="s">
        <v>20</v>
      </c>
      <c r="I8" s="3" t="s">
        <v>35</v>
      </c>
    </row>
    <row r="9" customFormat="false" ht="15" hidden="false" customHeight="true" outlineLevel="0" collapsed="false">
      <c r="A9" s="6" t="s">
        <v>45</v>
      </c>
      <c r="B9" s="6" t="s">
        <v>31</v>
      </c>
      <c r="C9" s="6" t="n">
        <v>6</v>
      </c>
      <c r="D9" s="7" t="s">
        <v>46</v>
      </c>
      <c r="E9" s="7" t="s">
        <v>47</v>
      </c>
      <c r="F9" s="7" t="s">
        <v>48</v>
      </c>
      <c r="G9" s="8" t="n">
        <v>110000</v>
      </c>
      <c r="H9" s="6" t="s">
        <v>14</v>
      </c>
      <c r="I9" s="6" t="s">
        <v>35</v>
      </c>
    </row>
    <row r="10" customFormat="false" ht="15" hidden="false" customHeight="true" outlineLevel="0" collapsed="false">
      <c r="A10" s="3" t="s">
        <v>49</v>
      </c>
      <c r="B10" s="3" t="s">
        <v>50</v>
      </c>
      <c r="C10" s="3" t="n">
        <v>7</v>
      </c>
      <c r="D10" s="4" t="s">
        <v>51</v>
      </c>
      <c r="E10" s="4" t="s">
        <v>52</v>
      </c>
      <c r="F10" s="4" t="s">
        <v>53</v>
      </c>
      <c r="G10" s="5" t="n">
        <v>200000</v>
      </c>
      <c r="H10" s="3" t="s">
        <v>25</v>
      </c>
      <c r="I10" s="3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3"/>
  </cols>
  <sheetData>
    <row r="1" customFormat="false" ht="39.75" hidden="false" customHeight="true" outlineLevel="0" collapsed="false">
      <c r="A1" s="9" t="s">
        <v>55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15" hidden="false" customHeight="true" outlineLevel="0" collapsed="false">
      <c r="A2" s="10" t="s">
        <v>56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customFormat="false" ht="24" hidden="false" customHeight="true" outlineLevel="0" collapsed="false">
      <c r="A4" s="11" t="s">
        <v>57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27.75" hidden="false" customHeight="true" outlineLevel="0" collapsed="false">
      <c r="A5" s="12" t="s">
        <v>58</v>
      </c>
      <c r="B5" s="12"/>
      <c r="C5" s="12"/>
      <c r="D5" s="13" t="s">
        <v>59</v>
      </c>
      <c r="E5" s="13"/>
      <c r="F5" s="13"/>
      <c r="G5" s="14" t="s">
        <v>60</v>
      </c>
      <c r="H5" s="14"/>
      <c r="I5" s="14"/>
      <c r="J5" s="15" t="s">
        <v>61</v>
      </c>
      <c r="K5" s="15"/>
      <c r="L5" s="15"/>
    </row>
    <row r="6" customFormat="false" ht="27.75" hidden="false" customHeight="true" outlineLevel="0" collapsed="false">
      <c r="A6" s="16" t="n">
        <f aca="false">SUM(Raw_Data!G2:G10)</f>
        <v>1908000</v>
      </c>
      <c r="B6" s="16"/>
      <c r="C6" s="16"/>
      <c r="D6" s="17" t="n">
        <f aca="false">AVERAGE(Raw_Data!G2:G10)</f>
        <v>212000</v>
      </c>
      <c r="E6" s="17"/>
      <c r="F6" s="17"/>
      <c r="G6" s="18" t="n">
        <f aca="false">MAX(Raw_Data!G2:G10)</f>
        <v>750000</v>
      </c>
      <c r="H6" s="18"/>
      <c r="I6" s="18"/>
      <c r="J6" s="19" t="n">
        <f aca="false">COUNTA(Raw_Data!A2:A10)</f>
        <v>9</v>
      </c>
      <c r="K6" s="19"/>
      <c r="L6" s="19"/>
    </row>
    <row r="7" customFormat="false" ht="27.75" hidden="false" customHeight="true" outlineLevel="0" collapsed="false">
      <c r="A7" s="20" t="s">
        <v>62</v>
      </c>
      <c r="B7" s="20"/>
      <c r="C7" s="20"/>
      <c r="D7" s="21" t="s">
        <v>63</v>
      </c>
      <c r="E7" s="21"/>
      <c r="F7" s="21"/>
      <c r="G7" s="22" t="s">
        <v>64</v>
      </c>
      <c r="H7" s="22"/>
      <c r="I7" s="22"/>
      <c r="J7" s="23" t="s">
        <v>65</v>
      </c>
      <c r="K7" s="23"/>
      <c r="L7" s="23"/>
    </row>
    <row r="9" customFormat="false" ht="25.5" hidden="false" customHeight="true" outlineLevel="0" collapsed="false">
      <c r="A9" s="24" t="s">
        <v>66</v>
      </c>
      <c r="B9" s="24"/>
      <c r="C9" s="24"/>
      <c r="D9" s="25" t="s">
        <v>67</v>
      </c>
      <c r="E9" s="25"/>
      <c r="F9" s="25"/>
      <c r="G9" s="26" t="s">
        <v>68</v>
      </c>
      <c r="H9" s="26"/>
      <c r="I9" s="26"/>
      <c r="J9" s="27" t="s">
        <v>69</v>
      </c>
      <c r="K9" s="27"/>
      <c r="L9" s="27"/>
    </row>
    <row r="10" customFormat="false" ht="25.5" hidden="false" customHeight="true" outlineLevel="0" collapsed="false">
      <c r="A10" s="28" t="n">
        <f aca="false">SUMIF(Raw_Data!B2:B10,"May",Raw_Data!G2:G10)</f>
        <v>493000</v>
      </c>
      <c r="B10" s="28"/>
      <c r="C10" s="28"/>
      <c r="D10" s="29" t="n">
        <f aca="false">SUMIF(Raw_Data!B2:B10,"Jun",Raw_Data!G2:G10)</f>
        <v>1215000</v>
      </c>
      <c r="E10" s="29"/>
      <c r="F10" s="29"/>
      <c r="G10" s="30" t="n">
        <f aca="false">SUMIF(Raw_Data!B2:B10,"Jul",Raw_Data!G2:G10)</f>
        <v>200000</v>
      </c>
      <c r="H10" s="30"/>
      <c r="I10" s="30"/>
      <c r="J10" s="31" t="n">
        <f aca="false">SUMIF(Reimbursements!E2:E4,"Pending",Reimbursements!D2:D4)</f>
        <v>0</v>
      </c>
      <c r="K10" s="31"/>
      <c r="L10" s="31"/>
    </row>
    <row r="11" customFormat="false" ht="25.5" hidden="false" customHeight="true" outlineLevel="0" collapsed="false">
      <c r="A11" s="32" t="s">
        <v>70</v>
      </c>
      <c r="B11" s="32"/>
      <c r="C11" s="32"/>
      <c r="D11" s="33" t="s">
        <v>71</v>
      </c>
      <c r="E11" s="33"/>
      <c r="F11" s="33"/>
      <c r="G11" s="34" t="s">
        <v>72</v>
      </c>
      <c r="H11" s="34"/>
      <c r="I11" s="34"/>
      <c r="J11" s="35" t="s">
        <v>73</v>
      </c>
      <c r="K11" s="35"/>
      <c r="L11" s="35"/>
    </row>
  </sheetData>
  <mergeCells count="27">
    <mergeCell ref="A1:L1"/>
    <mergeCell ref="A2:L2"/>
    <mergeCell ref="A4:L4"/>
    <mergeCell ref="A5:C5"/>
    <mergeCell ref="D5:F5"/>
    <mergeCell ref="G5:I5"/>
    <mergeCell ref="J5:L5"/>
    <mergeCell ref="A6:C6"/>
    <mergeCell ref="D6:F6"/>
    <mergeCell ref="G6:I6"/>
    <mergeCell ref="J6:L6"/>
    <mergeCell ref="A7:C7"/>
    <mergeCell ref="D7:F7"/>
    <mergeCell ref="G7:I7"/>
    <mergeCell ref="J7:L7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8"/>
  </cols>
  <sheetData>
    <row r="1" customFormat="false" ht="21.75" hidden="false" customHeight="true" outlineLevel="0" collapsed="false">
      <c r="A1" s="11" t="s">
        <v>74</v>
      </c>
      <c r="B1" s="11"/>
      <c r="C1" s="11"/>
      <c r="D1" s="11"/>
      <c r="E1" s="11"/>
    </row>
    <row r="2" customFormat="false" ht="15" hidden="false" customHeight="true" outlineLevel="0" collapsed="false">
      <c r="A2" s="2" t="s">
        <v>3</v>
      </c>
      <c r="B2" s="2" t="s">
        <v>75</v>
      </c>
      <c r="C2" s="2" t="s">
        <v>76</v>
      </c>
      <c r="D2" s="2" t="s">
        <v>77</v>
      </c>
      <c r="E2" s="2" t="s">
        <v>78</v>
      </c>
    </row>
    <row r="3" customFormat="false" ht="15" hidden="false" customHeight="true" outlineLevel="0" collapsed="false">
      <c r="A3" s="7" t="s">
        <v>37</v>
      </c>
      <c r="B3" s="8" t="n">
        <f aca="false">SUMIF(Raw_Data!D2:D10,A3,Raw_Data!G2:G10)</f>
        <v>750000</v>
      </c>
      <c r="C3" s="36" t="n">
        <f aca="false">B3/SUM(Raw_Data!G2:G10)</f>
        <v>0.393081761006289</v>
      </c>
      <c r="D3" s="37" t="n">
        <f aca="false">COUNTIF(Raw_Data!D2:D10,A3)</f>
        <v>1</v>
      </c>
      <c r="E3" s="8" t="n">
        <f aca="false">IFERROR(B3/D3,0)</f>
        <v>750000</v>
      </c>
    </row>
    <row r="4" customFormat="false" ht="15" hidden="false" customHeight="true" outlineLevel="0" collapsed="false">
      <c r="A4" s="4" t="s">
        <v>32</v>
      </c>
      <c r="B4" s="5" t="n">
        <f aca="false">SUMIF(Raw_Data!D2:D10,A4,Raw_Data!G2:G10)</f>
        <v>320000</v>
      </c>
      <c r="C4" s="38" t="n">
        <f aca="false">B4/SUM(Raw_Data!G2:G10)</f>
        <v>0.167714884696017</v>
      </c>
      <c r="D4" s="39" t="n">
        <f aca="false">COUNTIF(Raw_Data!D2:D10,A4)</f>
        <v>1</v>
      </c>
      <c r="E4" s="5" t="n">
        <f aca="false">IFERROR(B4/D4,0)</f>
        <v>320000</v>
      </c>
    </row>
    <row r="5" customFormat="false" ht="15" hidden="false" customHeight="true" outlineLevel="0" collapsed="false">
      <c r="A5" s="7" t="s">
        <v>11</v>
      </c>
      <c r="B5" s="8" t="n">
        <f aca="false">SUMIF(Raw_Data!D2:D10,A5,Raw_Data!G2:G10)</f>
        <v>250000</v>
      </c>
      <c r="C5" s="36" t="n">
        <f aca="false">B5/SUM(Raw_Data!G2:G10)</f>
        <v>0.131027253668763</v>
      </c>
      <c r="D5" s="37" t="n">
        <f aca="false">COUNTIF(Raw_Data!D2:D10,A5)</f>
        <v>1</v>
      </c>
      <c r="E5" s="8" t="n">
        <f aca="false">IFERROR(B5/D5,0)</f>
        <v>250000</v>
      </c>
    </row>
    <row r="6" customFormat="false" ht="15" hidden="false" customHeight="true" outlineLevel="0" collapsed="false">
      <c r="A6" s="4" t="s">
        <v>51</v>
      </c>
      <c r="B6" s="5" t="n">
        <f aca="false">SUMIF(Raw_Data!D2:D10,A6,Raw_Data!G2:G10)</f>
        <v>200000</v>
      </c>
      <c r="C6" s="38" t="n">
        <f aca="false">B6/SUM(Raw_Data!G2:G10)</f>
        <v>0.10482180293501</v>
      </c>
      <c r="D6" s="39" t="n">
        <f aca="false">COUNTIF(Raw_Data!D2:D10,A6)</f>
        <v>1</v>
      </c>
      <c r="E6" s="5" t="n">
        <f aca="false">IFERROR(B6/D6,0)</f>
        <v>200000</v>
      </c>
    </row>
    <row r="7" customFormat="false" ht="15" hidden="false" customHeight="true" outlineLevel="0" collapsed="false">
      <c r="A7" s="7" t="s">
        <v>27</v>
      </c>
      <c r="B7" s="8" t="n">
        <f aca="false">SUMIF(Raw_Data!D2:D10,A7,Raw_Data!G2:G10)</f>
        <v>120000</v>
      </c>
      <c r="C7" s="36" t="n">
        <f aca="false">B7/SUM(Raw_Data!G2:G10)</f>
        <v>0.0628930817610063</v>
      </c>
      <c r="D7" s="37" t="n">
        <f aca="false">COUNTIF(Raw_Data!D2:D10,A7)</f>
        <v>1</v>
      </c>
      <c r="E7" s="8" t="n">
        <f aca="false">IFERROR(B7/D7,0)</f>
        <v>120000</v>
      </c>
    </row>
    <row r="8" customFormat="false" ht="15" hidden="false" customHeight="true" outlineLevel="0" collapsed="false">
      <c r="A8" s="4" t="s">
        <v>46</v>
      </c>
      <c r="B8" s="5" t="n">
        <f aca="false">SUMIF(Raw_Data!D2:D10,A8,Raw_Data!G2:G10)</f>
        <v>110000</v>
      </c>
      <c r="C8" s="38" t="n">
        <f aca="false">B8/SUM(Raw_Data!G2:G10)</f>
        <v>0.0576519916142558</v>
      </c>
      <c r="D8" s="39" t="n">
        <f aca="false">COUNTIF(Raw_Data!D2:D10,A8)</f>
        <v>1</v>
      </c>
      <c r="E8" s="5" t="n">
        <f aca="false">IFERROR(B8/D8,0)</f>
        <v>110000</v>
      </c>
    </row>
    <row r="9" customFormat="false" ht="15" hidden="false" customHeight="true" outlineLevel="0" collapsed="false">
      <c r="A9" s="7" t="s">
        <v>17</v>
      </c>
      <c r="B9" s="8" t="n">
        <f aca="false">SUMIF(Raw_Data!D2:D10,A9,Raw_Data!G2:G10)</f>
        <v>75000</v>
      </c>
      <c r="C9" s="36" t="n">
        <f aca="false">B9/SUM(Raw_Data!G2:G10)</f>
        <v>0.0393081761006289</v>
      </c>
      <c r="D9" s="37" t="n">
        <f aca="false">COUNTIF(Raw_Data!D2:D10,A9)</f>
        <v>1</v>
      </c>
      <c r="E9" s="8" t="n">
        <f aca="false">IFERROR(B9/D9,0)</f>
        <v>75000</v>
      </c>
    </row>
    <row r="10" customFormat="false" ht="15" hidden="false" customHeight="true" outlineLevel="0" collapsed="false">
      <c r="A10" s="4" t="s">
        <v>22</v>
      </c>
      <c r="B10" s="5" t="n">
        <f aca="false">SUMIF(Raw_Data!D2:D10,A10,Raw_Data!G2:G10)</f>
        <v>48000</v>
      </c>
      <c r="C10" s="38" t="n">
        <f aca="false">B10/SUM(Raw_Data!G2:G10)</f>
        <v>0.0251572327044025</v>
      </c>
      <c r="D10" s="39" t="n">
        <f aca="false">COUNTIF(Raw_Data!D2:D10,A10)</f>
        <v>1</v>
      </c>
      <c r="E10" s="5" t="n">
        <f aca="false">IFERROR(B10/D10,0)</f>
        <v>48000</v>
      </c>
    </row>
    <row r="11" customFormat="false" ht="15" hidden="false" customHeight="true" outlineLevel="0" collapsed="false">
      <c r="A11" s="7" t="s">
        <v>42</v>
      </c>
      <c r="B11" s="8" t="n">
        <f aca="false">SUMIF(Raw_Data!D2:D10,A11,Raw_Data!G2:G10)</f>
        <v>35000</v>
      </c>
      <c r="C11" s="36" t="n">
        <f aca="false">B11/SUM(Raw_Data!G2:G10)</f>
        <v>0.0183438155136268</v>
      </c>
      <c r="D11" s="37" t="n">
        <f aca="false">COUNTIF(Raw_Data!D2:D10,A11)</f>
        <v>1</v>
      </c>
      <c r="E11" s="8" t="n">
        <f aca="false">IFERROR(B11/D11,0)</f>
        <v>35000</v>
      </c>
    </row>
    <row r="12" customFormat="false" ht="15" hidden="false" customHeight="true" outlineLevel="0" collapsed="false">
      <c r="A12" s="2" t="s">
        <v>79</v>
      </c>
      <c r="B12" s="40" t="n">
        <f aca="false">SUM(B3:B11)</f>
        <v>1908000</v>
      </c>
      <c r="C12" s="41" t="n">
        <f aca="false">SUM(C3:C11)</f>
        <v>1</v>
      </c>
      <c r="D12" s="42" t="n">
        <f aca="false">SUM(D3:D11)</f>
        <v>9</v>
      </c>
      <c r="E12" s="40" t="n">
        <f aca="false">IFERROR(B12/D12,0)</f>
        <v>212000</v>
      </c>
    </row>
    <row r="14" customFormat="false" ht="21.75" hidden="false" customHeight="true" outlineLevel="0" collapsed="false">
      <c r="A14" s="11" t="s">
        <v>80</v>
      </c>
      <c r="B14" s="11"/>
      <c r="C14" s="11"/>
      <c r="D14" s="11"/>
      <c r="E14" s="11"/>
    </row>
    <row r="15" customFormat="false" ht="15" hidden="false" customHeight="true" outlineLevel="0" collapsed="false">
      <c r="A15" s="2" t="s">
        <v>1</v>
      </c>
      <c r="B15" s="2" t="s">
        <v>75</v>
      </c>
      <c r="C15" s="2" t="s">
        <v>76</v>
      </c>
      <c r="D15" s="2" t="s">
        <v>77</v>
      </c>
      <c r="E15" s="2" t="s">
        <v>81</v>
      </c>
    </row>
    <row r="16" customFormat="false" ht="15" hidden="false" customHeight="true" outlineLevel="0" collapsed="false">
      <c r="A16" s="3" t="s">
        <v>10</v>
      </c>
      <c r="B16" s="5" t="n">
        <f aca="false">SUMIF(Raw_Data!B2:B10,A16,Raw_Data!G2:G10)</f>
        <v>493000</v>
      </c>
      <c r="C16" s="38" t="n">
        <f aca="false">B16/SUM(Raw_Data!G2:G10)</f>
        <v>0.258385744234801</v>
      </c>
      <c r="D16" s="39" t="n">
        <f aca="false">COUNTIF(Raw_Data!B2:B10,A16)</f>
        <v>4</v>
      </c>
      <c r="E16" s="43" t="str">
        <f aca="false">"-"</f>
        <v>-</v>
      </c>
    </row>
    <row r="17" customFormat="false" ht="15" hidden="false" customHeight="true" outlineLevel="0" collapsed="false">
      <c r="A17" s="6" t="s">
        <v>31</v>
      </c>
      <c r="B17" s="8" t="n">
        <f aca="false">SUMIF(Raw_Data!B2:B10,A17,Raw_Data!G2:G10)</f>
        <v>1215000</v>
      </c>
      <c r="C17" s="36" t="n">
        <f aca="false">B17/SUM(Raw_Data!G2:G10)</f>
        <v>0.636792452830189</v>
      </c>
      <c r="D17" s="37" t="n">
        <f aca="false">COUNTIF(Raw_Data!B2:B10,A17)</f>
        <v>4</v>
      </c>
      <c r="E17" s="36" t="n">
        <f aca="false">IFERROR((B17-B16)/B16,0)</f>
        <v>1.46450304259635</v>
      </c>
    </row>
    <row r="18" customFormat="false" ht="15" hidden="false" customHeight="true" outlineLevel="0" collapsed="false">
      <c r="A18" s="3" t="s">
        <v>50</v>
      </c>
      <c r="B18" s="5" t="n">
        <f aca="false">SUMIF(Raw_Data!B2:B10,A18,Raw_Data!G2:G10)</f>
        <v>200000</v>
      </c>
      <c r="C18" s="38" t="n">
        <f aca="false">B18/SUM(Raw_Data!G2:G10)</f>
        <v>0.10482180293501</v>
      </c>
      <c r="D18" s="39" t="n">
        <f aca="false">COUNTIF(Raw_Data!B2:B10,A18)</f>
        <v>1</v>
      </c>
      <c r="E18" s="38" t="n">
        <f aca="false">IFERROR((B18-B17)/B17,0)</f>
        <v>-0.835390946502058</v>
      </c>
    </row>
    <row r="21" customFormat="false" ht="21.75" hidden="false" customHeight="true" outlineLevel="0" collapsed="false">
      <c r="A21" s="11" t="s">
        <v>82</v>
      </c>
      <c r="B21" s="11"/>
      <c r="C21" s="11"/>
      <c r="D21" s="11"/>
    </row>
    <row r="22" customFormat="false" ht="15" hidden="false" customHeight="true" outlineLevel="0" collapsed="false">
      <c r="A22" s="2" t="s">
        <v>83</v>
      </c>
      <c r="B22" s="2" t="s">
        <v>84</v>
      </c>
      <c r="C22" s="2" t="s">
        <v>85</v>
      </c>
      <c r="D22" s="2" t="s">
        <v>77</v>
      </c>
    </row>
    <row r="23" customFormat="false" ht="15" hidden="false" customHeight="true" outlineLevel="0" collapsed="false">
      <c r="A23" s="7" t="s">
        <v>14</v>
      </c>
      <c r="B23" s="8" t="n">
        <f aca="false">SUMIF(Raw_Data!H2:H10,A23,Raw_Data!G2:G10)</f>
        <v>800000</v>
      </c>
      <c r="C23" s="36" t="n">
        <f aca="false">B23/SUM(Raw_Data!G2:G10)</f>
        <v>0.419287211740042</v>
      </c>
      <c r="D23" s="37" t="n">
        <f aca="false">COUNTIF(Raw_Data!H2:H10,A23)</f>
        <v>4</v>
      </c>
    </row>
    <row r="24" customFormat="false" ht="15" hidden="false" customHeight="true" outlineLevel="0" collapsed="false">
      <c r="A24" s="4" t="s">
        <v>40</v>
      </c>
      <c r="B24" s="5" t="n">
        <f aca="false">SUMIF(Raw_Data!H2:H10,A24,Raw_Data!G2:G10)</f>
        <v>750000</v>
      </c>
      <c r="C24" s="38" t="n">
        <f aca="false">B24/SUM(Raw_Data!G2:G10)</f>
        <v>0.393081761006289</v>
      </c>
      <c r="D24" s="39" t="n">
        <f aca="false">COUNTIF(Raw_Data!H2:H10,A24)</f>
        <v>1</v>
      </c>
    </row>
    <row r="25" customFormat="false" ht="15" hidden="false" customHeight="true" outlineLevel="0" collapsed="false">
      <c r="A25" s="7" t="s">
        <v>25</v>
      </c>
      <c r="B25" s="8" t="n">
        <f aca="false">SUMIF(Raw_Data!H2:H10,A25,Raw_Data!G2:G10)</f>
        <v>248000</v>
      </c>
      <c r="C25" s="36" t="n">
        <f aca="false">B25/SUM(Raw_Data!G2:G10)</f>
        <v>0.129979035639413</v>
      </c>
      <c r="D25" s="37" t="n">
        <f aca="false">COUNTIF(Raw_Data!H2:H10,A25)</f>
        <v>2</v>
      </c>
    </row>
    <row r="26" customFormat="false" ht="15" hidden="false" customHeight="true" outlineLevel="0" collapsed="false">
      <c r="A26" s="4" t="s">
        <v>20</v>
      </c>
      <c r="B26" s="5" t="n">
        <f aca="false">SUMIF(Raw_Data!H2:H10,A26,Raw_Data!G2:G10)</f>
        <v>110000</v>
      </c>
      <c r="C26" s="38" t="n">
        <f aca="false">B26/SUM(Raw_Data!G2:G10)</f>
        <v>0.0576519916142558</v>
      </c>
      <c r="D26" s="39" t="n">
        <f aca="false">COUNTIF(Raw_Data!H2:H10,A26)</f>
        <v>2</v>
      </c>
    </row>
  </sheetData>
  <mergeCells count="3">
    <mergeCell ref="A1:E1"/>
    <mergeCell ref="A14:E14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A589"/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52"/>
  </cols>
  <sheetData>
    <row r="1" customFormat="false" ht="33.75" hidden="false" customHeight="true" outlineLevel="0" collapsed="false">
      <c r="A1" s="44" t="s">
        <v>86</v>
      </c>
      <c r="B1" s="44"/>
      <c r="C1" s="44"/>
      <c r="D1" s="44"/>
      <c r="E1" s="44"/>
      <c r="F1" s="44"/>
      <c r="G1" s="44"/>
      <c r="H1" s="44"/>
    </row>
    <row r="3" customFormat="false" ht="21.75" hidden="false" customHeight="true" outlineLevel="0" collapsed="false">
      <c r="A3" s="11" t="s">
        <v>87</v>
      </c>
      <c r="B3" s="11"/>
      <c r="C3" s="11"/>
      <c r="D3" s="11"/>
      <c r="E3" s="11"/>
    </row>
    <row r="4" customFormat="false" ht="15" hidden="false" customHeight="true" outlineLevel="0" collapsed="false">
      <c r="A4" s="45" t="s">
        <v>88</v>
      </c>
      <c r="B4" s="45" t="s">
        <v>89</v>
      </c>
      <c r="C4" s="45" t="s">
        <v>90</v>
      </c>
      <c r="D4" s="45" t="s">
        <v>91</v>
      </c>
      <c r="E4" s="45" t="s">
        <v>92</v>
      </c>
    </row>
    <row r="5" customFormat="false" ht="15" hidden="false" customHeight="true" outlineLevel="0" collapsed="false">
      <c r="A5" s="46" t="s">
        <v>93</v>
      </c>
      <c r="B5" s="47" t="s">
        <v>10</v>
      </c>
      <c r="C5" s="47" t="s">
        <v>14</v>
      </c>
      <c r="D5" s="48" t="n">
        <f aca="false">SUMIFS(Raw_Data!G2:G10,Raw_Data!B2:B10,"May",Raw_Data!H2:H10,"Bank Transfer")</f>
        <v>370000</v>
      </c>
      <c r="E5" s="49" t="n">
        <f aca="false">SUMIFS(G2:G10,B2:B10,"May",H2:H10,"Bank Transfer")</f>
        <v>0</v>
      </c>
    </row>
    <row r="6" customFormat="false" ht="15" hidden="false" customHeight="true" outlineLevel="0" collapsed="false">
      <c r="A6" s="50" t="s">
        <v>94</v>
      </c>
      <c r="B6" s="51" t="s">
        <v>31</v>
      </c>
      <c r="C6" s="51" t="s">
        <v>35</v>
      </c>
      <c r="D6" s="52" t="n">
        <f aca="false">SUMIFS(Raw_Data!G2:G10,Raw_Data!B2:B10,"Jun",Raw_Data!I2:I10,"Launch Prep")</f>
        <v>1215000</v>
      </c>
      <c r="E6" s="53" t="n">
        <f aca="false">SUMIFS(G2:G10,B2:B10,"Jun",I2:I10,"Launch Prep")</f>
        <v>0</v>
      </c>
    </row>
    <row r="7" customFormat="false" ht="15" hidden="false" customHeight="true" outlineLevel="0" collapsed="false">
      <c r="A7" s="46" t="s">
        <v>95</v>
      </c>
      <c r="B7" s="47" t="s">
        <v>25</v>
      </c>
      <c r="C7" s="47" t="s">
        <v>96</v>
      </c>
      <c r="D7" s="48" t="n">
        <f aca="false">SUMIF(Raw_Data!H2:H10,"Credit Card",Raw_Data!G2:G10)</f>
        <v>248000</v>
      </c>
      <c r="E7" s="49" t="n">
        <f aca="false">SUMIF(H2:H10,"Credit Card",G2:G10)</f>
        <v>0</v>
      </c>
    </row>
    <row r="8" customFormat="false" ht="15" hidden="false" customHeight="true" outlineLevel="0" collapsed="false">
      <c r="A8" s="50" t="s">
        <v>97</v>
      </c>
      <c r="B8" s="51" t="s">
        <v>15</v>
      </c>
      <c r="C8" s="51" t="s">
        <v>96</v>
      </c>
      <c r="D8" s="52" t="n">
        <f aca="false">SUMIF(Raw_Data!I2:I10,"Setup",Raw_Data!G2:G10)</f>
        <v>493000</v>
      </c>
      <c r="E8" s="53" t="n">
        <f aca="false">SUMIF(I2:I10,"Setup",G2:G10)</f>
        <v>0</v>
      </c>
    </row>
    <row r="11" customFormat="false" ht="21.75" hidden="false" customHeight="true" outlineLevel="0" collapsed="false">
      <c r="A11" s="54" t="s">
        <v>98</v>
      </c>
      <c r="B11" s="54"/>
      <c r="C11" s="54"/>
      <c r="D11" s="54"/>
    </row>
    <row r="12" customFormat="false" ht="15" hidden="false" customHeight="true" outlineLevel="0" collapsed="false">
      <c r="A12" s="45" t="s">
        <v>5</v>
      </c>
      <c r="B12" s="45" t="s">
        <v>99</v>
      </c>
      <c r="C12" s="45" t="s">
        <v>100</v>
      </c>
      <c r="D12" s="45" t="s">
        <v>92</v>
      </c>
    </row>
    <row r="13" customFormat="false" ht="15" hidden="false" customHeight="true" outlineLevel="0" collapsed="false">
      <c r="A13" s="46" t="s">
        <v>101</v>
      </c>
      <c r="B13" s="47" t="s">
        <v>102</v>
      </c>
      <c r="C13" s="47" t="n">
        <f aca="false">COUNTIF(Raw_Data!B2:B10,"Jun")</f>
        <v>4</v>
      </c>
      <c r="D13" s="49" t="n">
        <f aca="false">COUNTIF(B2:B10,"Jun")</f>
        <v>1</v>
      </c>
    </row>
    <row r="14" customFormat="false" ht="15" hidden="false" customHeight="true" outlineLevel="0" collapsed="false">
      <c r="A14" s="50" t="s">
        <v>103</v>
      </c>
      <c r="B14" s="51" t="s">
        <v>104</v>
      </c>
      <c r="C14" s="51" t="n">
        <f aca="false">COUNTIF(Raw_Data!H2:H10,"RTGS")</f>
        <v>1</v>
      </c>
      <c r="D14" s="53" t="n">
        <f aca="false">COUNTIF(H2:H10,"RTGS")</f>
        <v>0</v>
      </c>
    </row>
    <row r="15" customFormat="false" ht="15" hidden="false" customHeight="true" outlineLevel="0" collapsed="false">
      <c r="A15" s="46" t="s">
        <v>105</v>
      </c>
      <c r="B15" s="47" t="s">
        <v>106</v>
      </c>
      <c r="C15" s="47" t="n">
        <f aca="false">COUNTIF(Raw_Data!G2:G10,"&gt;100000")</f>
        <v>6</v>
      </c>
      <c r="D15" s="49" t="n">
        <f aca="false">COUNTIF(G2:G10,"&gt;100000")</f>
        <v>0</v>
      </c>
    </row>
    <row r="16" customFormat="false" ht="15" hidden="false" customHeight="true" outlineLevel="0" collapsed="false">
      <c r="A16" s="50" t="s">
        <v>107</v>
      </c>
      <c r="B16" s="51" t="s">
        <v>108</v>
      </c>
      <c r="C16" s="51" t="n">
        <f aca="false">COUNTIF(Raw_Data!I2:I10,"Go-Live")</f>
        <v>1</v>
      </c>
      <c r="D16" s="53" t="n">
        <f aca="false">COUNTIF(I2:I10,"Go-Live")</f>
        <v>0</v>
      </c>
    </row>
    <row r="19" customFormat="false" ht="21.75" hidden="false" customHeight="true" outlineLevel="0" collapsed="false">
      <c r="A19" s="55" t="s">
        <v>109</v>
      </c>
      <c r="B19" s="55"/>
      <c r="C19" s="55"/>
      <c r="D19" s="55"/>
    </row>
    <row r="20" customFormat="false" ht="15" hidden="false" customHeight="true" outlineLevel="0" collapsed="false">
      <c r="A20" s="45" t="s">
        <v>5</v>
      </c>
      <c r="B20" s="45" t="s">
        <v>99</v>
      </c>
      <c r="C20" s="45" t="s">
        <v>110</v>
      </c>
      <c r="D20" s="45" t="s">
        <v>92</v>
      </c>
    </row>
    <row r="21" customFormat="false" ht="15" hidden="false" customHeight="true" outlineLevel="0" collapsed="false">
      <c r="A21" s="46" t="s">
        <v>111</v>
      </c>
      <c r="B21" s="47" t="s">
        <v>112</v>
      </c>
      <c r="C21" s="48" t="n">
        <f aca="false">AVERAGEIF(Raw_Data!I2:I10,"Setup",Raw_Data!G2:G10)</f>
        <v>123250</v>
      </c>
      <c r="D21" s="49" t="s">
        <v>113</v>
      </c>
    </row>
    <row r="22" customFormat="false" ht="21.75" hidden="false" customHeight="true" outlineLevel="0" collapsed="false">
      <c r="A22" s="50" t="s">
        <v>114</v>
      </c>
      <c r="B22" s="51" t="s">
        <v>115</v>
      </c>
      <c r="C22" s="52" t="n">
        <f aca="false">AVERAGEIF(Raw_Data!H2:H10,"Bank Transfer",Raw_Data!G2:G10)</f>
        <v>200000</v>
      </c>
      <c r="D22" s="53" t="s">
        <v>116</v>
      </c>
    </row>
    <row r="23" customFormat="false" ht="15" hidden="false" customHeight="true" outlineLevel="0" collapsed="false">
      <c r="A23" s="46" t="s">
        <v>117</v>
      </c>
      <c r="B23" s="47" t="s">
        <v>118</v>
      </c>
      <c r="C23" s="48" t="n">
        <f aca="false">AVERAGE(Raw_Data!G2:G10)</f>
        <v>212000</v>
      </c>
      <c r="D23" s="49" t="s">
        <v>119</v>
      </c>
    </row>
    <row r="26" customFormat="false" ht="21.75" hidden="false" customHeight="true" outlineLevel="0" collapsed="false">
      <c r="A26" s="56" t="s">
        <v>120</v>
      </c>
      <c r="B26" s="56"/>
      <c r="C26" s="56"/>
      <c r="D26" s="56"/>
      <c r="E26" s="56"/>
    </row>
    <row r="27" customFormat="false" ht="15" hidden="false" customHeight="true" outlineLevel="0" collapsed="false">
      <c r="A27" s="45" t="s">
        <v>121</v>
      </c>
      <c r="B27" s="45" t="s">
        <v>122</v>
      </c>
      <c r="C27" s="45" t="s">
        <v>3</v>
      </c>
      <c r="D27" s="45" t="s">
        <v>123</v>
      </c>
      <c r="E27" s="45" t="s">
        <v>8</v>
      </c>
    </row>
    <row r="28" customFormat="false" ht="15" hidden="false" customHeight="true" outlineLevel="0" collapsed="false">
      <c r="A28" s="50" t="s">
        <v>12</v>
      </c>
      <c r="B28" s="52" t="n">
        <f aca="false">IFERROR(INDEX(Raw_Data!G$2:G$10,MATCH(A28,Raw_Data!E$2:E$10,0)),"Not Found")</f>
        <v>250000</v>
      </c>
      <c r="C28" s="57" t="str">
        <f aca="false">IFERROR(INDEX(Raw_Data!D$2:D$10,MATCH(A28,Raw_Data!E$2:E$10,0)),"Unknown")</f>
        <v>Website Development</v>
      </c>
      <c r="D28" s="57" t="str">
        <f aca="false">IF(B28&gt;200000,"🔴 High Spend",IF(B28&gt;100000,"🟡 Medium","🟢 Low"))</f>
        <v>🔴 High Spend</v>
      </c>
      <c r="E28" s="57" t="str">
        <f aca="false">IFERROR(INDEX(Raw_Data!I$2:I$10,MATCH(A28,Raw_Data!E$2:E$10,0)),"N/A")</f>
        <v>Setup</v>
      </c>
    </row>
    <row r="29" customFormat="false" ht="15" hidden="false" customHeight="true" outlineLevel="0" collapsed="false">
      <c r="A29" s="46" t="s">
        <v>33</v>
      </c>
      <c r="B29" s="48" t="n">
        <f aca="false">IFERROR(INDEX(Raw_Data!G$2:G$10,MATCH(A29,Raw_Data!E$2:E$10,0)),"Not Found")</f>
        <v>320000</v>
      </c>
      <c r="C29" s="58" t="str">
        <f aca="false">IFERROR(INDEX(Raw_Data!D$2:D$10,MATCH(A29,Raw_Data!E$2:E$10,0)),"Unknown")</f>
        <v>Product Photography</v>
      </c>
      <c r="D29" s="58" t="str">
        <f aca="false">IF(B29&gt;200000,"🔴 High Spend",IF(B29&gt;100000,"🟡 Medium","🟢 Low"))</f>
        <v>🔴 High Spend</v>
      </c>
      <c r="E29" s="58" t="str">
        <f aca="false">IFERROR(INDEX(Raw_Data!I$2:I$10,MATCH(A29,Raw_Data!E$2:E$10,0)),"N/A")</f>
        <v>Launch Prep</v>
      </c>
    </row>
    <row r="30" customFormat="false" ht="15" hidden="false" customHeight="true" outlineLevel="0" collapsed="false">
      <c r="A30" s="50" t="s">
        <v>38</v>
      </c>
      <c r="B30" s="52" t="n">
        <f aca="false">IFERROR(INDEX(Raw_Data!G$2:G$10,MATCH(A30,Raw_Data!E$2:E$10,0)),"Not Found")</f>
        <v>750000</v>
      </c>
      <c r="C30" s="57" t="str">
        <f aca="false">IFERROR(INDEX(Raw_Data!D$2:D$10,MATCH(A30,Raw_Data!E$2:E$10,0)),"Unknown")</f>
        <v>Inventory Purchase</v>
      </c>
      <c r="D30" s="57" t="str">
        <f aca="false">IF(B30&gt;200000,"🔴 High Spend",IF(B30&gt;100000,"🟡 Medium","🟢 Low"))</f>
        <v>🔴 High Spend</v>
      </c>
      <c r="E30" s="57" t="str">
        <f aca="false">IFERROR(INDEX(Raw_Data!I$2:I$10,MATCH(A30,Raw_Data!E$2:E$10,0)),"N/A")</f>
        <v>Launch Prep</v>
      </c>
    </row>
    <row r="31" customFormat="false" ht="15" hidden="false" customHeight="true" outlineLevel="0" collapsed="false">
      <c r="A31" s="46" t="s">
        <v>52</v>
      </c>
      <c r="B31" s="48" t="n">
        <f aca="false">IFERROR(INDEX(Raw_Data!G$2:G$10,MATCH(A31,Raw_Data!E$2:E$10,0)),"Not Found")</f>
        <v>200000</v>
      </c>
      <c r="C31" s="58" t="str">
        <f aca="false">IFERROR(INDEX(Raw_Data!D$2:D$10,MATCH(A31,Raw_Data!E$2:E$10,0)),"Unknown")</f>
        <v>Marketing</v>
      </c>
      <c r="D31" s="58" t="str">
        <f aca="false">IF(B31&gt;200000,"🔴 High Spend",IF(B31&gt;100000,"🟡 Medium","🟢 Low"))</f>
        <v>🟡 Medium</v>
      </c>
      <c r="E31" s="58" t="str">
        <f aca="false">IFERROR(INDEX(Raw_Data!I$2:I$10,MATCH(A31,Raw_Data!E$2:E$10,0)),"N/A")</f>
        <v>Go-Live</v>
      </c>
    </row>
    <row r="32" customFormat="false" ht="15" hidden="false" customHeight="true" outlineLevel="0" collapsed="false">
      <c r="A32" s="50" t="s">
        <v>28</v>
      </c>
      <c r="B32" s="52" t="n">
        <f aca="false">IFERROR(INDEX(Raw_Data!G$2:G$10,MATCH(A32,Raw_Data!E$2:E$10,0)),"Not Found")</f>
        <v>120000</v>
      </c>
      <c r="C32" s="57" t="str">
        <f aca="false">IFERROR(INDEX(Raw_Data!D$2:D$10,MATCH(A32,Raw_Data!E$2:E$10,0)),"Unknown")</f>
        <v>Recruitment</v>
      </c>
      <c r="D32" s="57" t="str">
        <f aca="false">IF(B32&gt;200000,"🔴 High Spend",IF(B32&gt;100000,"🟡 Medium","🟢 Low"))</f>
        <v>🟡 Medium</v>
      </c>
      <c r="E32" s="57" t="str">
        <f aca="false">IFERROR(INDEX(Raw_Data!I$2:I$10,MATCH(A32,Raw_Data!E$2:E$10,0)),"N/A")</f>
        <v>Setup</v>
      </c>
    </row>
  </sheetData>
  <mergeCells count="5">
    <mergeCell ref="A1:H1"/>
    <mergeCell ref="A3:E3"/>
    <mergeCell ref="A11:D11"/>
    <mergeCell ref="A19:D19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N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11" min="11" style="1" width="10"/>
    <col collapsed="false" customWidth="true" hidden="false" outlineLevel="0" max="12" min="12" style="1" width="16"/>
  </cols>
  <sheetData>
    <row r="1" customFormat="false" ht="31.5" hidden="false" customHeight="true" outlineLevel="0" collapsed="false">
      <c r="A1" s="44" t="s">
        <v>124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3" customFormat="false" ht="15" hidden="false" customHeight="true" outlineLevel="0" collapsed="false">
      <c r="A3" s="59" t="s">
        <v>3</v>
      </c>
      <c r="B3" s="59" t="s">
        <v>122</v>
      </c>
      <c r="K3" s="59" t="s">
        <v>1</v>
      </c>
      <c r="L3" s="59" t="s">
        <v>122</v>
      </c>
    </row>
    <row r="4" customFormat="false" ht="15" hidden="false" customHeight="true" outlineLevel="0" collapsed="false">
      <c r="A4" s="4" t="s">
        <v>125</v>
      </c>
      <c r="B4" s="5" t="n">
        <f aca="false">Pivot_Analysis!B3</f>
        <v>750000</v>
      </c>
      <c r="K4" s="3" t="s">
        <v>10</v>
      </c>
      <c r="L4" s="5" t="n">
        <f aca="false">Pivot_Analysis!B16</f>
        <v>493000</v>
      </c>
    </row>
    <row r="5" customFormat="false" ht="15" hidden="false" customHeight="true" outlineLevel="0" collapsed="false">
      <c r="A5" s="7" t="s">
        <v>126</v>
      </c>
      <c r="B5" s="8" t="n">
        <f aca="false">Pivot_Analysis!B4</f>
        <v>320000</v>
      </c>
      <c r="K5" s="6" t="s">
        <v>127</v>
      </c>
      <c r="L5" s="8" t="n">
        <f aca="false">Pivot_Analysis!B17</f>
        <v>1215000</v>
      </c>
    </row>
    <row r="6" customFormat="false" ht="15" hidden="false" customHeight="true" outlineLevel="0" collapsed="false">
      <c r="A6" s="4" t="s">
        <v>128</v>
      </c>
      <c r="B6" s="5" t="n">
        <f aca="false">Pivot_Analysis!B5</f>
        <v>250000</v>
      </c>
      <c r="K6" s="3" t="s">
        <v>129</v>
      </c>
      <c r="L6" s="5" t="n">
        <f aca="false">Pivot_Analysis!B18</f>
        <v>200000</v>
      </c>
    </row>
    <row r="7" customFormat="false" ht="15" hidden="false" customHeight="true" outlineLevel="0" collapsed="false">
      <c r="A7" s="7" t="s">
        <v>51</v>
      </c>
      <c r="B7" s="8" t="n">
        <f aca="false">Pivot_Analysis!B6</f>
        <v>200000</v>
      </c>
    </row>
    <row r="8" customFormat="false" ht="15" hidden="false" customHeight="true" outlineLevel="0" collapsed="false">
      <c r="A8" s="4" t="s">
        <v>27</v>
      </c>
      <c r="B8" s="5" t="n">
        <f aca="false">Pivot_Analysis!B7</f>
        <v>120000</v>
      </c>
    </row>
    <row r="9" customFormat="false" ht="15" hidden="false" customHeight="true" outlineLevel="0" collapsed="false">
      <c r="A9" s="7" t="s">
        <v>130</v>
      </c>
      <c r="B9" s="8" t="n">
        <f aca="false">Pivot_Analysis!B8</f>
        <v>110000</v>
      </c>
    </row>
    <row r="10" customFormat="false" ht="15" hidden="false" customHeight="true" outlineLevel="0" collapsed="false">
      <c r="A10" s="4" t="s">
        <v>17</v>
      </c>
      <c r="B10" s="5" t="n">
        <f aca="false">Pivot_Analysis!B9</f>
        <v>75000</v>
      </c>
    </row>
    <row r="11" customFormat="false" ht="15" hidden="false" customHeight="true" outlineLevel="0" collapsed="false">
      <c r="A11" s="7" t="s">
        <v>131</v>
      </c>
      <c r="B11" s="8" t="n">
        <f aca="false">Pivot_Analysis!B10</f>
        <v>48000</v>
      </c>
    </row>
    <row r="12" customFormat="false" ht="15" hidden="false" customHeight="true" outlineLevel="0" collapsed="false">
      <c r="A12" s="4" t="s">
        <v>132</v>
      </c>
      <c r="B12" s="5" t="n">
        <f aca="false">Pivot_Analysis!B11</f>
        <v>35000</v>
      </c>
    </row>
    <row r="35" customFormat="false" ht="15" hidden="false" customHeight="true" outlineLevel="0" collapsed="false">
      <c r="A35" s="59" t="s">
        <v>83</v>
      </c>
      <c r="B35" s="59" t="s">
        <v>122</v>
      </c>
    </row>
    <row r="36" customFormat="false" ht="15" hidden="false" customHeight="true" outlineLevel="0" collapsed="false">
      <c r="A36" s="4" t="s">
        <v>14</v>
      </c>
      <c r="B36" s="5" t="n">
        <f aca="false">Pivot_Analysis!B26</f>
        <v>110000</v>
      </c>
    </row>
    <row r="37" customFormat="false" ht="15" hidden="false" customHeight="true" outlineLevel="0" collapsed="false">
      <c r="A37" s="7" t="s">
        <v>40</v>
      </c>
      <c r="B37" s="8" t="n">
        <f aca="false">Pivot_Analysis!B27</f>
        <v>0</v>
      </c>
    </row>
    <row r="38" customFormat="false" ht="15" hidden="false" customHeight="true" outlineLevel="0" collapsed="false">
      <c r="A38" s="4" t="s">
        <v>25</v>
      </c>
      <c r="B38" s="5" t="n">
        <f aca="false">Pivot_Analysis!B28</f>
        <v>0</v>
      </c>
    </row>
    <row r="39" customFormat="false" ht="15" hidden="false" customHeight="true" outlineLevel="0" collapsed="false">
      <c r="A39" s="7" t="s">
        <v>20</v>
      </c>
      <c r="B39" s="8" t="n">
        <f aca="false">Pivot_Analysis!B29</f>
        <v>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38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8" min="8" style="1" width="18"/>
  </cols>
  <sheetData>
    <row r="1" customFormat="false" ht="30" hidden="false" customHeight="true" outlineLevel="0" collapsed="false">
      <c r="A1" s="60" t="s">
        <v>133</v>
      </c>
      <c r="B1" s="60"/>
      <c r="C1" s="60"/>
      <c r="D1" s="60"/>
      <c r="E1" s="60"/>
      <c r="F1" s="60"/>
      <c r="G1" s="60"/>
      <c r="H1" s="60"/>
    </row>
    <row r="2" customFormat="false" ht="15" hidden="false" customHeight="true" outlineLevel="0" collapsed="false">
      <c r="A2" s="59" t="s">
        <v>134</v>
      </c>
      <c r="B2" s="59" t="s">
        <v>121</v>
      </c>
      <c r="C2" s="59" t="s">
        <v>0</v>
      </c>
      <c r="D2" s="59" t="s">
        <v>135</v>
      </c>
      <c r="E2" s="59" t="s">
        <v>136</v>
      </c>
      <c r="F2" s="59" t="s">
        <v>137</v>
      </c>
      <c r="G2" s="59" t="s">
        <v>84</v>
      </c>
      <c r="H2" s="59" t="s">
        <v>138</v>
      </c>
    </row>
    <row r="3" customFormat="false" ht="15" hidden="false" customHeight="true" outlineLevel="0" collapsed="false">
      <c r="A3" s="61" t="s">
        <v>139</v>
      </c>
      <c r="B3" s="61" t="s">
        <v>12</v>
      </c>
      <c r="C3" s="61" t="s">
        <v>9</v>
      </c>
      <c r="D3" s="62" t="s">
        <v>140</v>
      </c>
      <c r="E3" s="63" t="n">
        <v>250000</v>
      </c>
      <c r="F3" s="63" t="n">
        <v>45000</v>
      </c>
      <c r="G3" s="63" t="n">
        <f aca="false">E3+F3</f>
        <v>295000</v>
      </c>
      <c r="H3" s="61" t="s">
        <v>141</v>
      </c>
    </row>
    <row r="4" customFormat="false" ht="15" hidden="false" customHeight="true" outlineLevel="0" collapsed="false">
      <c r="A4" s="61" t="s">
        <v>142</v>
      </c>
      <c r="B4" s="61" t="s">
        <v>33</v>
      </c>
      <c r="C4" s="61" t="s">
        <v>30</v>
      </c>
      <c r="D4" s="62" t="s">
        <v>143</v>
      </c>
      <c r="E4" s="63" t="n">
        <v>320000</v>
      </c>
      <c r="F4" s="63" t="n">
        <v>57600</v>
      </c>
      <c r="G4" s="63" t="n">
        <f aca="false">E4+F4</f>
        <v>377600</v>
      </c>
      <c r="H4" s="61" t="s">
        <v>141</v>
      </c>
    </row>
    <row r="5" customFormat="false" ht="15" hidden="false" customHeight="true" outlineLevel="0" collapsed="false">
      <c r="A5" s="64" t="s">
        <v>144</v>
      </c>
      <c r="B5" s="64" t="s">
        <v>52</v>
      </c>
      <c r="C5" s="64" t="s">
        <v>49</v>
      </c>
      <c r="D5" s="65" t="s">
        <v>145</v>
      </c>
      <c r="E5" s="66" t="n">
        <v>200000</v>
      </c>
      <c r="F5" s="66" t="n">
        <v>0</v>
      </c>
      <c r="G5" s="66" t="n">
        <f aca="false">E5+F5</f>
        <v>200000</v>
      </c>
      <c r="H5" s="64" t="s">
        <v>146</v>
      </c>
    </row>
    <row r="6" customFormat="false" ht="15" hidden="false" customHeight="true" outlineLevel="0" collapsed="false">
      <c r="A6" s="2" t="s">
        <v>147</v>
      </c>
      <c r="B6" s="2"/>
      <c r="C6" s="2"/>
      <c r="D6" s="2"/>
      <c r="E6" s="40" t="n">
        <f aca="false">SUM(E3:E5)</f>
        <v>770000</v>
      </c>
      <c r="F6" s="40" t="n">
        <f aca="false">SUM(F3:F5)</f>
        <v>102600</v>
      </c>
      <c r="G6" s="40" t="n">
        <f aca="false">SUM(G3:G5)</f>
        <v>872600</v>
      </c>
      <c r="H6" s="67"/>
    </row>
    <row r="8" customFormat="false" ht="31.5" hidden="false" customHeight="true" outlineLevel="0" collapsed="false">
      <c r="A8" s="68" t="s">
        <v>148</v>
      </c>
      <c r="B8" s="68"/>
      <c r="C8" s="68"/>
      <c r="D8" s="68"/>
      <c r="E8" s="68"/>
      <c r="F8" s="68"/>
      <c r="G8" s="68"/>
      <c r="H8" s="68"/>
    </row>
  </sheetData>
  <mergeCells count="3">
    <mergeCell ref="A1:H1"/>
    <mergeCell ref="A6:D6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5" min="4" style="1" width="14"/>
    <col collapsed="false" customWidth="true" hidden="false" outlineLevel="0" max="6" min="6" style="1" width="18"/>
  </cols>
  <sheetData>
    <row r="1" customFormat="false" ht="30" hidden="false" customHeight="true" outlineLevel="0" collapsed="false">
      <c r="A1" s="60" t="s">
        <v>149</v>
      </c>
      <c r="B1" s="60"/>
      <c r="C1" s="60"/>
      <c r="D1" s="60"/>
      <c r="E1" s="60"/>
      <c r="F1" s="60"/>
    </row>
    <row r="2" customFormat="false" ht="15" hidden="false" customHeight="true" outlineLevel="0" collapsed="false">
      <c r="A2" s="59" t="s">
        <v>150</v>
      </c>
      <c r="B2" s="59" t="s">
        <v>151</v>
      </c>
      <c r="C2" s="59" t="s">
        <v>152</v>
      </c>
      <c r="D2" s="59" t="s">
        <v>122</v>
      </c>
      <c r="E2" s="59" t="s">
        <v>138</v>
      </c>
      <c r="F2" s="59" t="s">
        <v>153</v>
      </c>
    </row>
    <row r="3" customFormat="false" ht="15" hidden="false" customHeight="true" outlineLevel="0" collapsed="false">
      <c r="A3" s="69" t="s">
        <v>154</v>
      </c>
      <c r="B3" s="69" t="s">
        <v>51</v>
      </c>
      <c r="C3" s="70" t="s">
        <v>155</v>
      </c>
      <c r="D3" s="71" t="n">
        <v>8500</v>
      </c>
      <c r="E3" s="69" t="s">
        <v>156</v>
      </c>
      <c r="F3" s="69" t="str">
        <f aca="false">IF(E3="Pending","🔴 Action Needed",IF(E3="Approved","🟡 Awaiting Payment","🟢 Done"))</f>
        <v>🟡 Awaiting Payment</v>
      </c>
    </row>
    <row r="4" customFormat="false" ht="15" hidden="false" customHeight="true" outlineLevel="0" collapsed="false">
      <c r="A4" s="61" t="s">
        <v>157</v>
      </c>
      <c r="B4" s="61" t="s">
        <v>158</v>
      </c>
      <c r="C4" s="62" t="s">
        <v>159</v>
      </c>
      <c r="D4" s="63" t="n">
        <v>5200</v>
      </c>
      <c r="E4" s="61" t="s">
        <v>160</v>
      </c>
      <c r="F4" s="61" t="str">
        <f aca="false">IF(E4="Pending","🔴 Action Needed",IF(E4="Approved","🟡 Awaiting Payment","🟢 Done"))</f>
        <v>🟢 Done</v>
      </c>
    </row>
    <row r="5" customFormat="false" ht="15" hidden="false" customHeight="true" outlineLevel="0" collapsed="false">
      <c r="A5" s="64" t="s">
        <v>161</v>
      </c>
      <c r="B5" s="64" t="s">
        <v>162</v>
      </c>
      <c r="C5" s="65" t="s">
        <v>163</v>
      </c>
      <c r="D5" s="66" t="n">
        <v>3400</v>
      </c>
      <c r="E5" s="64" t="s">
        <v>164</v>
      </c>
      <c r="F5" s="64" t="str">
        <f aca="false">IF(E5="Pending","🔴 Action Needed",IF(E5="Approved","🟡 Awaiting Payment","🟢 Done"))</f>
        <v>🔴 Action Needed</v>
      </c>
    </row>
    <row r="6" customFormat="false" ht="15" hidden="false" customHeight="true" outlineLevel="0" collapsed="false">
      <c r="A6" s="72" t="s">
        <v>165</v>
      </c>
      <c r="B6" s="72"/>
      <c r="C6" s="72"/>
      <c r="D6" s="73" t="n">
        <f aca="false">SUM(D3:D5)</f>
        <v>17100</v>
      </c>
    </row>
    <row r="7" customFormat="false" ht="15" hidden="false" customHeight="true" outlineLevel="0" collapsed="false">
      <c r="A7" s="74" t="s">
        <v>166</v>
      </c>
      <c r="B7" s="74"/>
      <c r="C7" s="74"/>
      <c r="D7" s="75" t="n">
        <f aca="false">SUMIF(E3:E5,"Reimbursed",D3:D5)</f>
        <v>5200</v>
      </c>
    </row>
    <row r="8" customFormat="false" ht="15" hidden="false" customHeight="true" outlineLevel="0" collapsed="false">
      <c r="A8" s="76" t="s">
        <v>167</v>
      </c>
      <c r="B8" s="76"/>
      <c r="C8" s="76"/>
      <c r="D8" s="77" t="n">
        <f aca="false">SUMIF(E3:E5,"Pending",D3:D5)</f>
        <v>3400</v>
      </c>
    </row>
  </sheetData>
  <mergeCells count="4">
    <mergeCell ref="A1:F1"/>
    <mergeCell ref="A6:C6"/>
    <mergeCell ref="A7:C7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30"/>
    <col collapsed="false" customWidth="true" hidden="false" outlineLevel="0" max="6" min="6" style="1" width="22"/>
  </cols>
  <sheetData>
    <row r="1" customFormat="false" ht="36" hidden="false" customHeight="true" outlineLevel="0" collapsed="false">
      <c r="A1" s="44" t="s">
        <v>168</v>
      </c>
      <c r="B1" s="44"/>
      <c r="C1" s="44"/>
      <c r="D1" s="44"/>
      <c r="E1" s="44"/>
      <c r="F1" s="44"/>
    </row>
    <row r="3" customFormat="false" ht="21.75" hidden="false" customHeight="true" outlineLevel="0" collapsed="false">
      <c r="A3" s="11" t="s">
        <v>169</v>
      </c>
      <c r="B3" s="11"/>
      <c r="C3" s="11"/>
      <c r="D3" s="11"/>
      <c r="E3" s="11"/>
      <c r="F3" s="11"/>
    </row>
    <row r="4" customFormat="false" ht="15" hidden="false" customHeight="true" outlineLevel="0" collapsed="false">
      <c r="A4" s="2" t="s">
        <v>170</v>
      </c>
      <c r="B4" s="2" t="s">
        <v>171</v>
      </c>
      <c r="C4" s="2" t="s">
        <v>3</v>
      </c>
      <c r="D4" s="2" t="s">
        <v>172</v>
      </c>
      <c r="E4" s="2" t="s">
        <v>173</v>
      </c>
      <c r="F4" s="2" t="s">
        <v>174</v>
      </c>
    </row>
    <row r="5" customFormat="false" ht="31.5" hidden="false" customHeight="true" outlineLevel="0" collapsed="false">
      <c r="A5" s="78" t="n">
        <v>1</v>
      </c>
      <c r="B5" s="79" t="s">
        <v>175</v>
      </c>
      <c r="C5" s="78" t="s">
        <v>176</v>
      </c>
      <c r="D5" s="78" t="s">
        <v>177</v>
      </c>
      <c r="E5" s="80" t="n">
        <f aca="false">Pivot_Analysis!B3/Pivot_Analysis!B12</f>
        <v>0.393081761006289</v>
      </c>
      <c r="F5" s="79" t="s">
        <v>178</v>
      </c>
    </row>
    <row r="6" customFormat="false" ht="31.5" hidden="false" customHeight="true" outlineLevel="0" collapsed="false">
      <c r="A6" s="78" t="n">
        <v>2</v>
      </c>
      <c r="B6" s="79" t="s">
        <v>179</v>
      </c>
      <c r="C6" s="78" t="s">
        <v>180</v>
      </c>
      <c r="D6" s="78" t="s">
        <v>177</v>
      </c>
      <c r="E6" s="80" t="n">
        <f aca="false">Pivot_Analysis!B17/KPI_Summary!A6</f>
        <v>0.636792452830189</v>
      </c>
      <c r="F6" s="79" t="s">
        <v>181</v>
      </c>
    </row>
    <row r="7" customFormat="false" ht="31.5" hidden="false" customHeight="true" outlineLevel="0" collapsed="false">
      <c r="A7" s="78" t="n">
        <v>3</v>
      </c>
      <c r="B7" s="79" t="s">
        <v>182</v>
      </c>
      <c r="C7" s="78" t="s">
        <v>183</v>
      </c>
      <c r="D7" s="78" t="s">
        <v>177</v>
      </c>
      <c r="E7" s="80" t="n">
        <f aca="false">Receipts!E6/SUM(Raw_Data!G2:G10)</f>
        <v>0.40356394129979</v>
      </c>
      <c r="F7" s="79" t="s">
        <v>184</v>
      </c>
    </row>
    <row r="8" customFormat="false" ht="31.5" hidden="false" customHeight="true" outlineLevel="0" collapsed="false">
      <c r="A8" s="81" t="n">
        <v>4</v>
      </c>
      <c r="B8" s="82" t="s">
        <v>185</v>
      </c>
      <c r="C8" s="81" t="s">
        <v>186</v>
      </c>
      <c r="D8" s="81" t="s">
        <v>187</v>
      </c>
      <c r="E8" s="83" t="n">
        <f aca="false">Receipts!F5</f>
        <v>0</v>
      </c>
      <c r="F8" s="82" t="s">
        <v>188</v>
      </c>
    </row>
    <row r="9" customFormat="false" ht="31.5" hidden="false" customHeight="true" outlineLevel="0" collapsed="false">
      <c r="A9" s="81" t="n">
        <v>5</v>
      </c>
      <c r="B9" s="82" t="s">
        <v>189</v>
      </c>
      <c r="C9" s="81" t="s">
        <v>190</v>
      </c>
      <c r="D9" s="81" t="s">
        <v>187</v>
      </c>
      <c r="E9" s="84" t="n">
        <f aca="false">Pivot_Analysis!B6/Pivot_Analysis!B12</f>
        <v>0.10482180293501</v>
      </c>
      <c r="F9" s="82" t="s">
        <v>191</v>
      </c>
    </row>
    <row r="10" customFormat="false" ht="31.5" hidden="false" customHeight="true" outlineLevel="0" collapsed="false">
      <c r="A10" s="81" t="n">
        <v>6</v>
      </c>
      <c r="B10" s="82" t="s">
        <v>192</v>
      </c>
      <c r="C10" s="81" t="s">
        <v>193</v>
      </c>
      <c r="D10" s="81" t="s">
        <v>194</v>
      </c>
      <c r="E10" s="84" t="n">
        <f aca="false">320000/500</f>
        <v>640</v>
      </c>
      <c r="F10" s="82" t="s">
        <v>195</v>
      </c>
    </row>
    <row r="11" customFormat="false" ht="31.5" hidden="false" customHeight="true" outlineLevel="0" collapsed="false">
      <c r="A11" s="85" t="n">
        <v>7</v>
      </c>
      <c r="B11" s="86" t="s">
        <v>196</v>
      </c>
      <c r="C11" s="85" t="s">
        <v>197</v>
      </c>
      <c r="D11" s="85" t="s">
        <v>198</v>
      </c>
      <c r="E11" s="87" t="n">
        <f aca="false">Reimbursements!D8</f>
        <v>3400</v>
      </c>
      <c r="F11" s="86" t="s">
        <v>199</v>
      </c>
    </row>
    <row r="12" customFormat="false" ht="31.5" hidden="false" customHeight="true" outlineLevel="0" collapsed="false">
      <c r="A12" s="85" t="n">
        <v>8</v>
      </c>
      <c r="B12" s="86" t="s">
        <v>200</v>
      </c>
      <c r="C12" s="85" t="s">
        <v>201</v>
      </c>
      <c r="D12" s="85" t="s">
        <v>202</v>
      </c>
      <c r="E12" s="88" t="n">
        <f aca="false">SUMIFS(Raw_Data!G2:G10,Raw_Data!H2:H10,"Bank Transfer")+SUMIFS(Raw_Data!G2:G10,Raw_Data!H2:H10,"RTGS")</f>
        <v>1550000</v>
      </c>
      <c r="F12" s="86" t="s">
        <v>203</v>
      </c>
    </row>
    <row r="15" customFormat="false" ht="21.75" hidden="false" customHeight="true" outlineLevel="0" collapsed="false">
      <c r="A15" s="54" t="s">
        <v>204</v>
      </c>
      <c r="B15" s="54"/>
      <c r="C15" s="54"/>
      <c r="D15" s="54"/>
      <c r="E15" s="54"/>
      <c r="F15" s="54"/>
    </row>
    <row r="16" customFormat="false" ht="15" hidden="false" customHeight="true" outlineLevel="0" collapsed="false">
      <c r="A16" s="2" t="s">
        <v>172</v>
      </c>
      <c r="B16" s="2" t="s">
        <v>205</v>
      </c>
      <c r="C16" s="2" t="s">
        <v>151</v>
      </c>
      <c r="D16" s="2" t="s">
        <v>206</v>
      </c>
      <c r="E16" s="2" t="s">
        <v>207</v>
      </c>
      <c r="F16" s="2" t="s">
        <v>208</v>
      </c>
    </row>
    <row r="17" customFormat="false" ht="30" hidden="false" customHeight="true" outlineLevel="0" collapsed="false">
      <c r="A17" s="46" t="s">
        <v>209</v>
      </c>
      <c r="B17" s="46" t="s">
        <v>210</v>
      </c>
      <c r="C17" s="46" t="s">
        <v>211</v>
      </c>
      <c r="D17" s="46" t="s">
        <v>212</v>
      </c>
      <c r="E17" s="46" t="s">
        <v>213</v>
      </c>
      <c r="F17" s="46" t="s">
        <v>214</v>
      </c>
    </row>
    <row r="18" customFormat="false" ht="30" hidden="false" customHeight="true" outlineLevel="0" collapsed="false">
      <c r="A18" s="50" t="s">
        <v>215</v>
      </c>
      <c r="B18" s="50" t="s">
        <v>216</v>
      </c>
      <c r="C18" s="50" t="s">
        <v>211</v>
      </c>
      <c r="D18" s="50" t="s">
        <v>217</v>
      </c>
      <c r="E18" s="50" t="s">
        <v>218</v>
      </c>
      <c r="F18" s="50" t="s">
        <v>219</v>
      </c>
    </row>
    <row r="19" customFormat="false" ht="30" hidden="false" customHeight="true" outlineLevel="0" collapsed="false">
      <c r="A19" s="46" t="s">
        <v>220</v>
      </c>
      <c r="B19" s="46" t="s">
        <v>221</v>
      </c>
      <c r="C19" s="46" t="s">
        <v>158</v>
      </c>
      <c r="D19" s="46" t="s">
        <v>222</v>
      </c>
      <c r="E19" s="46" t="s">
        <v>223</v>
      </c>
      <c r="F19" s="46" t="s">
        <v>224</v>
      </c>
    </row>
    <row r="20" customFormat="false" ht="30" hidden="false" customHeight="true" outlineLevel="0" collapsed="false">
      <c r="A20" s="50" t="s">
        <v>225</v>
      </c>
      <c r="B20" s="50" t="s">
        <v>226</v>
      </c>
      <c r="C20" s="50" t="s">
        <v>51</v>
      </c>
      <c r="D20" s="50" t="s">
        <v>227</v>
      </c>
      <c r="E20" s="50" t="s">
        <v>228</v>
      </c>
      <c r="F20" s="50" t="s">
        <v>229</v>
      </c>
    </row>
    <row r="21" customFormat="false" ht="30" hidden="false" customHeight="true" outlineLevel="0" collapsed="false">
      <c r="A21" s="46" t="s">
        <v>230</v>
      </c>
      <c r="B21" s="46" t="s">
        <v>231</v>
      </c>
      <c r="C21" s="46" t="s">
        <v>158</v>
      </c>
      <c r="D21" s="46" t="s">
        <v>232</v>
      </c>
      <c r="E21" s="46" t="s">
        <v>233</v>
      </c>
      <c r="F21" s="46" t="s">
        <v>234</v>
      </c>
    </row>
    <row r="22" customFormat="false" ht="30" hidden="false" customHeight="true" outlineLevel="0" collapsed="false">
      <c r="A22" s="50" t="s">
        <v>235</v>
      </c>
      <c r="B22" s="50" t="s">
        <v>236</v>
      </c>
      <c r="C22" s="50" t="s">
        <v>237</v>
      </c>
      <c r="D22" s="50" t="s">
        <v>238</v>
      </c>
      <c r="E22" s="50" t="s">
        <v>239</v>
      </c>
      <c r="F22" s="50" t="s">
        <v>240</v>
      </c>
    </row>
  </sheetData>
  <mergeCells count="3">
    <mergeCell ref="A1:F1"/>
    <mergeCell ref="A3:F3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36" hidden="false" customHeight="true" outlineLevel="0" collapsed="false">
      <c r="A1" s="44" t="s">
        <v>241</v>
      </c>
      <c r="B1" s="44"/>
      <c r="C1" s="44"/>
      <c r="D1" s="44"/>
      <c r="E1" s="44"/>
      <c r="F1" s="44"/>
      <c r="G1" s="44"/>
      <c r="H1" s="44"/>
    </row>
    <row r="3" customFormat="false" ht="24" hidden="false" customHeight="true" outlineLevel="0" collapsed="false">
      <c r="A3" s="89" t="s">
        <v>242</v>
      </c>
      <c r="B3" s="89"/>
      <c r="C3" s="89"/>
      <c r="D3" s="89"/>
      <c r="E3" s="89"/>
      <c r="F3" s="89"/>
      <c r="G3" s="89"/>
      <c r="H3" s="89"/>
    </row>
    <row r="4" customFormat="false" ht="72" hidden="false" customHeight="true" outlineLevel="0" collapsed="false">
      <c r="A4" s="90" t="s">
        <v>243</v>
      </c>
      <c r="B4" s="90"/>
      <c r="C4" s="90"/>
      <c r="D4" s="90"/>
      <c r="E4" s="90"/>
      <c r="F4" s="90"/>
      <c r="G4" s="90"/>
      <c r="H4" s="90"/>
    </row>
    <row r="5" customFormat="false" ht="15" hidden="false" customHeight="true" outlineLevel="0" collapsed="false">
      <c r="A5" s="90"/>
      <c r="B5" s="90"/>
      <c r="C5" s="90"/>
      <c r="D5" s="90"/>
      <c r="E5" s="90"/>
      <c r="F5" s="90"/>
      <c r="G5" s="90"/>
      <c r="H5" s="90"/>
    </row>
    <row r="6" customFormat="false" ht="15" hidden="false" customHeight="true" outlineLevel="0" collapsed="false">
      <c r="A6" s="90"/>
      <c r="B6" s="90"/>
      <c r="C6" s="90"/>
      <c r="D6" s="90"/>
      <c r="E6" s="90"/>
      <c r="F6" s="90"/>
      <c r="G6" s="90"/>
      <c r="H6" s="90"/>
    </row>
    <row r="7" customFormat="false" ht="15" hidden="false" customHeight="true" outlineLevel="0" collapsed="false">
      <c r="A7" s="90"/>
      <c r="B7" s="90"/>
      <c r="C7" s="90"/>
      <c r="D7" s="90"/>
      <c r="E7" s="90"/>
      <c r="F7" s="90"/>
      <c r="G7" s="90"/>
      <c r="H7" s="90"/>
    </row>
    <row r="9" customFormat="false" ht="24" hidden="false" customHeight="true" outlineLevel="0" collapsed="false">
      <c r="A9" s="89" t="s">
        <v>244</v>
      </c>
      <c r="B9" s="89"/>
      <c r="C9" s="89"/>
      <c r="D9" s="89"/>
      <c r="E9" s="89"/>
      <c r="F9" s="89"/>
      <c r="G9" s="89"/>
      <c r="H9" s="89"/>
    </row>
    <row r="10" customFormat="false" ht="72" hidden="false" customHeight="true" outlineLevel="0" collapsed="false">
      <c r="A10" s="90" t="s">
        <v>245</v>
      </c>
      <c r="B10" s="90"/>
      <c r="C10" s="90"/>
      <c r="D10" s="90"/>
      <c r="E10" s="90"/>
      <c r="F10" s="90"/>
      <c r="G10" s="90"/>
      <c r="H10" s="90"/>
    </row>
    <row r="11" customFormat="false" ht="15" hidden="false" customHeight="true" outlineLevel="0" collapsed="false">
      <c r="A11" s="90"/>
      <c r="B11" s="90"/>
      <c r="C11" s="90"/>
      <c r="D11" s="90"/>
      <c r="E11" s="90"/>
      <c r="F11" s="90"/>
      <c r="G11" s="90"/>
      <c r="H11" s="90"/>
    </row>
    <row r="12" customFormat="false" ht="15" hidden="false" customHeight="true" outlineLevel="0" collapsed="false">
      <c r="A12" s="90"/>
      <c r="B12" s="90"/>
      <c r="C12" s="90"/>
      <c r="D12" s="90"/>
      <c r="E12" s="90"/>
      <c r="F12" s="90"/>
      <c r="G12" s="90"/>
      <c r="H12" s="90"/>
    </row>
    <row r="13" customFormat="false" ht="15" hidden="false" customHeight="true" outlineLevel="0" collapsed="false">
      <c r="A13" s="90"/>
      <c r="B13" s="90"/>
      <c r="C13" s="90"/>
      <c r="D13" s="90"/>
      <c r="E13" s="90"/>
      <c r="F13" s="90"/>
      <c r="G13" s="90"/>
      <c r="H13" s="90"/>
    </row>
    <row r="15" customFormat="false" ht="24" hidden="false" customHeight="true" outlineLevel="0" collapsed="false">
      <c r="A15" s="89" t="s">
        <v>246</v>
      </c>
      <c r="B15" s="89"/>
      <c r="C15" s="89"/>
      <c r="D15" s="89"/>
      <c r="E15" s="89"/>
      <c r="F15" s="89"/>
      <c r="G15" s="89"/>
      <c r="H15" s="89"/>
    </row>
    <row r="16" customFormat="false" ht="72" hidden="false" customHeight="true" outlineLevel="0" collapsed="false">
      <c r="A16" s="91" t="s">
        <v>247</v>
      </c>
      <c r="B16" s="91"/>
      <c r="C16" s="91"/>
      <c r="D16" s="91"/>
      <c r="E16" s="91"/>
      <c r="F16" s="91"/>
      <c r="G16" s="91"/>
      <c r="H16" s="91"/>
    </row>
    <row r="17" customFormat="false" ht="15" hidden="false" customHeight="true" outlineLevel="0" collapsed="false">
      <c r="A17" s="91"/>
      <c r="B17" s="91"/>
      <c r="C17" s="91"/>
      <c r="D17" s="91"/>
      <c r="E17" s="91"/>
      <c r="F17" s="91"/>
      <c r="G17" s="91"/>
      <c r="H17" s="91"/>
    </row>
    <row r="18" customFormat="false" ht="15" hidden="false" customHeight="true" outlineLevel="0" collapsed="false">
      <c r="A18" s="91"/>
      <c r="B18" s="91"/>
      <c r="C18" s="91"/>
      <c r="D18" s="91"/>
      <c r="E18" s="91"/>
      <c r="F18" s="91"/>
      <c r="G18" s="91"/>
      <c r="H18" s="91"/>
    </row>
    <row r="19" customFormat="false" ht="15" hidden="false" customHeight="true" outlineLevel="0" collapsed="false">
      <c r="A19" s="91"/>
      <c r="B19" s="91"/>
      <c r="C19" s="91"/>
      <c r="D19" s="91"/>
      <c r="E19" s="91"/>
      <c r="F19" s="91"/>
      <c r="G19" s="91"/>
      <c r="H19" s="91"/>
    </row>
    <row r="21" customFormat="false" ht="24" hidden="false" customHeight="true" outlineLevel="0" collapsed="false">
      <c r="A21" s="89" t="s">
        <v>248</v>
      </c>
      <c r="B21" s="89"/>
      <c r="C21" s="89"/>
      <c r="D21" s="89"/>
      <c r="E21" s="89"/>
      <c r="F21" s="89"/>
      <c r="G21" s="89"/>
      <c r="H21" s="89"/>
    </row>
    <row r="22" customFormat="false" ht="72" hidden="false" customHeight="true" outlineLevel="0" collapsed="false">
      <c r="A22" s="90" t="s">
        <v>249</v>
      </c>
      <c r="B22" s="90"/>
      <c r="C22" s="90"/>
      <c r="D22" s="90"/>
      <c r="E22" s="90"/>
      <c r="F22" s="90"/>
      <c r="G22" s="90"/>
      <c r="H22" s="90"/>
    </row>
    <row r="23" customFormat="false" ht="15" hidden="false" customHeight="true" outlineLevel="0" collapsed="false">
      <c r="A23" s="90"/>
      <c r="B23" s="90"/>
      <c r="C23" s="90"/>
      <c r="D23" s="90"/>
      <c r="E23" s="90"/>
      <c r="F23" s="90"/>
      <c r="G23" s="90"/>
      <c r="H23" s="90"/>
    </row>
    <row r="24" customFormat="false" ht="15" hidden="false" customHeight="true" outlineLevel="0" collapsed="false">
      <c r="A24" s="90"/>
      <c r="B24" s="90"/>
      <c r="C24" s="90"/>
      <c r="D24" s="90"/>
      <c r="E24" s="90"/>
      <c r="F24" s="90"/>
      <c r="G24" s="90"/>
      <c r="H24" s="90"/>
    </row>
    <row r="25" customFormat="false" ht="15" hidden="false" customHeight="true" outlineLevel="0" collapsed="false">
      <c r="A25" s="90"/>
      <c r="B25" s="90"/>
      <c r="C25" s="90"/>
      <c r="D25" s="90"/>
      <c r="E25" s="90"/>
      <c r="F25" s="90"/>
      <c r="G25" s="90"/>
      <c r="H25" s="90"/>
    </row>
    <row r="27" customFormat="false" ht="24" hidden="false" customHeight="true" outlineLevel="0" collapsed="false">
      <c r="A27" s="89" t="s">
        <v>250</v>
      </c>
      <c r="B27" s="89"/>
      <c r="C27" s="89"/>
      <c r="D27" s="89"/>
      <c r="E27" s="89"/>
      <c r="F27" s="89"/>
      <c r="G27" s="89"/>
      <c r="H27" s="89"/>
    </row>
    <row r="28" customFormat="false" ht="72" hidden="false" customHeight="true" outlineLevel="0" collapsed="false">
      <c r="A28" s="91" t="s">
        <v>251</v>
      </c>
      <c r="B28" s="91"/>
      <c r="C28" s="91"/>
      <c r="D28" s="91"/>
      <c r="E28" s="91"/>
      <c r="F28" s="91"/>
      <c r="G28" s="91"/>
      <c r="H28" s="91"/>
    </row>
    <row r="29" customFormat="false" ht="15" hidden="false" customHeight="true" outlineLevel="0" collapsed="false">
      <c r="A29" s="91"/>
      <c r="B29" s="91"/>
      <c r="C29" s="91"/>
      <c r="D29" s="91"/>
      <c r="E29" s="91"/>
      <c r="F29" s="91"/>
      <c r="G29" s="91"/>
      <c r="H29" s="91"/>
    </row>
    <row r="30" customFormat="false" ht="15" hidden="false" customHeight="true" outlineLevel="0" collapsed="false">
      <c r="A30" s="91"/>
      <c r="B30" s="91"/>
      <c r="C30" s="91"/>
      <c r="D30" s="91"/>
      <c r="E30" s="91"/>
      <c r="F30" s="91"/>
      <c r="G30" s="91"/>
      <c r="H30" s="91"/>
    </row>
    <row r="31" customFormat="false" ht="15" hidden="false" customHeight="true" outlineLevel="0" collapsed="false">
      <c r="A31" s="91"/>
      <c r="B31" s="91"/>
      <c r="C31" s="91"/>
      <c r="D31" s="91"/>
      <c r="E31" s="91"/>
      <c r="F31" s="91"/>
      <c r="G31" s="91"/>
      <c r="H31" s="91"/>
    </row>
    <row r="33" customFormat="false" ht="24" hidden="false" customHeight="true" outlineLevel="0" collapsed="false">
      <c r="A33" s="89" t="s">
        <v>252</v>
      </c>
      <c r="B33" s="89"/>
      <c r="C33" s="89"/>
      <c r="D33" s="89"/>
      <c r="E33" s="89"/>
      <c r="F33" s="89"/>
      <c r="G33" s="89"/>
      <c r="H33" s="89"/>
    </row>
    <row r="34" customFormat="false" ht="72" hidden="false" customHeight="true" outlineLevel="0" collapsed="false">
      <c r="A34" s="90" t="s">
        <v>253</v>
      </c>
      <c r="B34" s="90"/>
      <c r="C34" s="90"/>
      <c r="D34" s="90"/>
      <c r="E34" s="90"/>
      <c r="F34" s="90"/>
      <c r="G34" s="90"/>
      <c r="H34" s="90"/>
    </row>
    <row r="35" customFormat="false" ht="15" hidden="false" customHeight="true" outlineLevel="0" collapsed="false">
      <c r="A35" s="90"/>
      <c r="B35" s="90"/>
      <c r="C35" s="90"/>
      <c r="D35" s="90"/>
      <c r="E35" s="90"/>
      <c r="F35" s="90"/>
      <c r="G35" s="90"/>
      <c r="H35" s="90"/>
    </row>
    <row r="36" customFormat="false" ht="15" hidden="false" customHeight="true" outlineLevel="0" collapsed="false">
      <c r="A36" s="90"/>
      <c r="B36" s="90"/>
      <c r="C36" s="90"/>
      <c r="D36" s="90"/>
      <c r="E36" s="90"/>
      <c r="F36" s="90"/>
      <c r="G36" s="90"/>
      <c r="H36" s="90"/>
    </row>
    <row r="37" customFormat="false" ht="15" hidden="false" customHeight="true" outlineLevel="0" collapsed="false">
      <c r="A37" s="90"/>
      <c r="B37" s="90"/>
      <c r="C37" s="90"/>
      <c r="D37" s="90"/>
      <c r="E37" s="90"/>
      <c r="F37" s="90"/>
      <c r="G37" s="90"/>
      <c r="H37" s="90"/>
    </row>
    <row r="39" customFormat="false" ht="24" hidden="false" customHeight="true" outlineLevel="0" collapsed="false">
      <c r="A39" s="89" t="s">
        <v>254</v>
      </c>
      <c r="B39" s="89"/>
      <c r="C39" s="89"/>
      <c r="D39" s="89"/>
      <c r="E39" s="89"/>
      <c r="F39" s="89"/>
      <c r="G39" s="89"/>
      <c r="H39" s="89"/>
    </row>
    <row r="40" customFormat="false" ht="72" hidden="false" customHeight="true" outlineLevel="0" collapsed="false">
      <c r="A40" s="90" t="s">
        <v>255</v>
      </c>
      <c r="B40" s="90"/>
      <c r="C40" s="90"/>
      <c r="D40" s="90"/>
      <c r="E40" s="90"/>
      <c r="F40" s="90"/>
      <c r="G40" s="90"/>
      <c r="H40" s="90"/>
    </row>
    <row r="41" customFormat="false" ht="15" hidden="false" customHeight="true" outlineLevel="0" collapsed="false">
      <c r="A41" s="90"/>
      <c r="B41" s="90"/>
      <c r="C41" s="90"/>
      <c r="D41" s="90"/>
      <c r="E41" s="90"/>
      <c r="F41" s="90"/>
      <c r="G41" s="90"/>
      <c r="H41" s="90"/>
    </row>
    <row r="42" customFormat="false" ht="15" hidden="false" customHeight="true" outlineLevel="0" collapsed="false">
      <c r="A42" s="90"/>
      <c r="B42" s="90"/>
      <c r="C42" s="90"/>
      <c r="D42" s="90"/>
      <c r="E42" s="90"/>
      <c r="F42" s="90"/>
      <c r="G42" s="90"/>
      <c r="H42" s="90"/>
    </row>
    <row r="43" customFormat="false" ht="15" hidden="false" customHeight="true" outlineLevel="0" collapsed="false">
      <c r="A43" s="90"/>
      <c r="B43" s="90"/>
      <c r="C43" s="90"/>
      <c r="D43" s="90"/>
      <c r="E43" s="90"/>
      <c r="F43" s="90"/>
      <c r="G43" s="90"/>
      <c r="H43" s="90"/>
    </row>
    <row r="45" customFormat="false" ht="24" hidden="false" customHeight="true" outlineLevel="0" collapsed="false">
      <c r="A45" s="89" t="s">
        <v>256</v>
      </c>
      <c r="B45" s="89"/>
      <c r="C45" s="89"/>
      <c r="D45" s="89"/>
      <c r="E45" s="89"/>
      <c r="F45" s="89"/>
      <c r="G45" s="89"/>
      <c r="H45" s="89"/>
    </row>
    <row r="46" customFormat="false" ht="72" hidden="false" customHeight="true" outlineLevel="0" collapsed="false">
      <c r="A46" s="91" t="s">
        <v>257</v>
      </c>
      <c r="B46" s="91"/>
      <c r="C46" s="91"/>
      <c r="D46" s="91"/>
      <c r="E46" s="91"/>
      <c r="F46" s="91"/>
      <c r="G46" s="91"/>
      <c r="H46" s="91"/>
    </row>
    <row r="47" customFormat="false" ht="15" hidden="false" customHeight="true" outlineLevel="0" collapsed="false">
      <c r="A47" s="91"/>
      <c r="B47" s="91"/>
      <c r="C47" s="91"/>
      <c r="D47" s="91"/>
      <c r="E47" s="91"/>
      <c r="F47" s="91"/>
      <c r="G47" s="91"/>
      <c r="H47" s="91"/>
    </row>
    <row r="48" customFormat="false" ht="15" hidden="false" customHeight="true" outlineLevel="0" collapsed="false">
      <c r="A48" s="91"/>
      <c r="B48" s="91"/>
      <c r="C48" s="91"/>
      <c r="D48" s="91"/>
      <c r="E48" s="91"/>
      <c r="F48" s="91"/>
      <c r="G48" s="91"/>
      <c r="H48" s="91"/>
    </row>
    <row r="49" customFormat="false" ht="15" hidden="false" customHeight="true" outlineLevel="0" collapsed="false">
      <c r="A49" s="91"/>
      <c r="B49" s="91"/>
      <c r="C49" s="91"/>
      <c r="D49" s="91"/>
      <c r="E49" s="91"/>
      <c r="F49" s="91"/>
      <c r="G49" s="91"/>
      <c r="H49" s="91"/>
    </row>
    <row r="51" customFormat="false" ht="24" hidden="false" customHeight="true" outlineLevel="0" collapsed="false">
      <c r="A51" s="89" t="s">
        <v>258</v>
      </c>
      <c r="B51" s="89"/>
      <c r="C51" s="89"/>
      <c r="D51" s="89"/>
      <c r="E51" s="89"/>
      <c r="F51" s="89"/>
      <c r="G51" s="89"/>
      <c r="H51" s="89"/>
    </row>
    <row r="52" customFormat="false" ht="72" hidden="false" customHeight="true" outlineLevel="0" collapsed="false">
      <c r="A52" s="90" t="s">
        <v>259</v>
      </c>
      <c r="B52" s="90"/>
      <c r="C52" s="90"/>
      <c r="D52" s="90"/>
      <c r="E52" s="90"/>
      <c r="F52" s="90"/>
      <c r="G52" s="90"/>
      <c r="H52" s="90"/>
    </row>
    <row r="53" customFormat="false" ht="15" hidden="false" customHeight="true" outlineLevel="0" collapsed="false">
      <c r="A53" s="90"/>
      <c r="B53" s="90"/>
      <c r="C53" s="90"/>
      <c r="D53" s="90"/>
      <c r="E53" s="90"/>
      <c r="F53" s="90"/>
      <c r="G53" s="90"/>
      <c r="H53" s="90"/>
    </row>
    <row r="54" customFormat="false" ht="15" hidden="false" customHeight="true" outlineLevel="0" collapsed="false">
      <c r="A54" s="90"/>
      <c r="B54" s="90"/>
      <c r="C54" s="90"/>
      <c r="D54" s="90"/>
      <c r="E54" s="90"/>
      <c r="F54" s="90"/>
      <c r="G54" s="90"/>
      <c r="H54" s="90"/>
    </row>
    <row r="55" customFormat="false" ht="15" hidden="false" customHeight="true" outlineLevel="0" collapsed="false">
      <c r="A55" s="90"/>
      <c r="B55" s="90"/>
      <c r="C55" s="90"/>
      <c r="D55" s="90"/>
      <c r="E55" s="90"/>
      <c r="F55" s="90"/>
      <c r="G55" s="90"/>
      <c r="H55" s="90"/>
    </row>
  </sheetData>
  <mergeCells count="19">
    <mergeCell ref="A1:H1"/>
    <mergeCell ref="A3:H3"/>
    <mergeCell ref="A4:H7"/>
    <mergeCell ref="A9:H9"/>
    <mergeCell ref="A10:H13"/>
    <mergeCell ref="A15:H15"/>
    <mergeCell ref="A16:H19"/>
    <mergeCell ref="A21:H21"/>
    <mergeCell ref="A22:H25"/>
    <mergeCell ref="A27:H27"/>
    <mergeCell ref="A28:H31"/>
    <mergeCell ref="A33:H33"/>
    <mergeCell ref="A34:H37"/>
    <mergeCell ref="A39:H39"/>
    <mergeCell ref="A40:H43"/>
    <mergeCell ref="A45:H45"/>
    <mergeCell ref="A46:H49"/>
    <mergeCell ref="A51:H51"/>
    <mergeCell ref="A52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2026-05-17T13:00:10Z</dcterms:created>
  <dc:creator>openpyxl</dc:creator>
  <dc:description/>
  <dc:language>en-US</dc:language>
  <cp:lastModifiedBy/>
  <dcterms:modified xsi:type="dcterms:W3CDTF">2026-05-17T13:00:34Z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